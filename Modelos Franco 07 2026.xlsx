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rserviciosfinancieros-my.sharepoint.com/personal/ggeneral_oautos_com_mx/Documents/1. FRANCO/Riesgo/"/>
    </mc:Choice>
  </mc:AlternateContent>
  <xr:revisionPtr revIDLastSave="479" documentId="8_{AD10717D-3EE3-4760-9D25-F62416A58B2A}" xr6:coauthVersionLast="47" xr6:coauthVersionMax="47" xr10:uidLastSave="{84F5D214-23AB-4A17-90BE-DC13F51CAC31}"/>
  <bookViews>
    <workbookView xWindow="-98" yWindow="-98" windowWidth="21795" windowHeight="13695" tabRatio="698" xr2:uid="{26A369C3-9FA1-4AE0-8A6D-2AAF9E2CC85C}"/>
  </bookViews>
  <sheets>
    <sheet name="BANCOS" sheetId="9" r:id="rId1"/>
    <sheet name="SAT" sheetId="4" r:id="rId2"/>
    <sheet name="Rangos" sheetId="1" r:id="rId3"/>
    <sheet name="Param. de salida con formulas" sheetId="5" r:id="rId4"/>
  </sheets>
  <externalReferences>
    <externalReference r:id="rId5"/>
    <externalReference r:id="rId6"/>
    <externalReference r:id="rId7"/>
  </externalReferences>
  <definedNames>
    <definedName name="Almex" localSheetId="3">#REF!</definedName>
    <definedName name="Almex">#REF!</definedName>
    <definedName name="anticipo" localSheetId="3">'Param. de salida con formulas'!#REF!</definedName>
    <definedName name="CAJATIP" localSheetId="3">#REF!</definedName>
    <definedName name="CAJATIP">#REF!</definedName>
    <definedName name="CCAJATIP" localSheetId="3">#REF!</definedName>
    <definedName name="CCAJATIP">#REF!</definedName>
    <definedName name="CIQWBGuid" hidden="1">"7e993089-2528-4a40-8396-8b7115002a2f"</definedName>
    <definedName name="comisión_apertura" localSheetId="3">'Param. de salida con formulas'!$I$4:$I$12</definedName>
    <definedName name="CTRACTOTIP" localSheetId="3">#REF!</definedName>
    <definedName name="CTRACTOTIP">#REF!</definedName>
    <definedName name="deposito_garantia" localSheetId="3">'Param. de salida con formulas'!#REF!</definedName>
    <definedName name="descuento_rentas" localSheetId="3">'Param. de salida con formulas'!$S$4:$V$12</definedName>
    <definedName name="fondo_reserva" localSheetId="3">'Param. de salida con formulas'!$X$4:$AA$12</definedName>
    <definedName name="FXrate" localSheetId="3">#REF!</definedName>
    <definedName name="FXrate">#REF!</definedName>
    <definedName name="i" localSheetId="3">#REF!</definedName>
    <definedName name="i">#REF!</definedName>
    <definedName name="ii" localSheetId="3">#REF!</definedName>
    <definedName name="ii">#REF!</definedName>
    <definedName name="Interes" localSheetId="3">#REF!</definedName>
    <definedName name="Interes">#REF!</definedName>
    <definedName name="Interes2" localSheetId="3">#REF!</definedName>
    <definedName name="Interes2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41378.9658217593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inea_credito" localSheetId="3">'Param. de salida con formulas'!$C$4:$G$12</definedName>
    <definedName name="plazo" localSheetId="3">'Param. de salida con formulas'!$I$21:$L$29</definedName>
    <definedName name="rendimientos" localSheetId="3">'[1]Rend.'!$G$9:$J$17</definedName>
    <definedName name="rendimientos">'[2]Rend.'!$G$9:$J$17</definedName>
    <definedName name="rendimientos_c" localSheetId="3">#REF!</definedName>
    <definedName name="rendimientos_c">#REF!</definedName>
    <definedName name="renta" localSheetId="3">'Param. de salida con formulas'!#REF!</definedName>
    <definedName name="tabla_p" localSheetId="3">[1]Parametros!$B$6:$M$13</definedName>
    <definedName name="tabla_p">[2]Parametros!$B$6:$M$13</definedName>
    <definedName name="tasa_credito" localSheetId="3">'Param. de salida con formulas'!$AC$4:$AF$12</definedName>
    <definedName name="tc" localSheetId="3">#REF!</definedName>
    <definedName name="tc">#REF!</definedName>
    <definedName name="TRACTOOTROS" localSheetId="3">#REF!</definedName>
    <definedName name="TRACTOOTROS">#REF!</definedName>
    <definedName name="TRACTOTIP" localSheetId="3">#REF!</definedName>
    <definedName name="TRACTOTIP">#REF!</definedName>
    <definedName name="valor_residual" localSheetId="3">'Param. de salida con formulas'!$S$21:$V$29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4" l="1"/>
  <c r="I11" i="9"/>
  <c r="P5" i="9"/>
  <c r="B59" i="4"/>
  <c r="Q45" i="9"/>
  <c r="P45" i="9"/>
  <c r="G41" i="9"/>
  <c r="H41" i="9" s="1"/>
  <c r="E51" i="9" s="1"/>
  <c r="G34" i="9"/>
  <c r="H34" i="9" s="1"/>
  <c r="G33" i="9"/>
  <c r="H33" i="9" s="1"/>
  <c r="G31" i="9"/>
  <c r="G32" i="9" s="1"/>
  <c r="H32" i="9" s="1"/>
  <c r="E50" i="9" s="1"/>
  <c r="G27" i="9"/>
  <c r="H27" i="9" s="1"/>
  <c r="E56" i="9" s="1"/>
  <c r="G26" i="9"/>
  <c r="H26" i="9" s="1"/>
  <c r="E52" i="9" s="1"/>
  <c r="G25" i="9"/>
  <c r="G20" i="9"/>
  <c r="H20" i="9" s="1"/>
  <c r="E59" i="9" s="1"/>
  <c r="F60" i="9" s="1"/>
  <c r="G19" i="9"/>
  <c r="G18" i="9"/>
  <c r="G17" i="9"/>
  <c r="E11" i="9" s="1"/>
  <c r="G16" i="9"/>
  <c r="F11" i="9" s="1"/>
  <c r="G12" i="9"/>
  <c r="F12" i="9"/>
  <c r="G42" i="9" s="1"/>
  <c r="E12" i="9"/>
  <c r="J11" i="9"/>
  <c r="G11" i="9"/>
  <c r="G9" i="9"/>
  <c r="F9" i="9"/>
  <c r="T8" i="9"/>
  <c r="S8" i="9"/>
  <c r="R8" i="9"/>
  <c r="Q8" i="9"/>
  <c r="P8" i="9"/>
  <c r="T7" i="9"/>
  <c r="S7" i="9"/>
  <c r="R7" i="9"/>
  <c r="Q7" i="9"/>
  <c r="P7" i="9"/>
  <c r="T6" i="9"/>
  <c r="S6" i="9"/>
  <c r="R6" i="9"/>
  <c r="Q6" i="9"/>
  <c r="P6" i="9"/>
  <c r="T5" i="9"/>
  <c r="S5" i="9"/>
  <c r="R5" i="9"/>
  <c r="Q5" i="9"/>
  <c r="T4" i="9"/>
  <c r="S4" i="9"/>
  <c r="R4" i="9"/>
  <c r="Q4" i="9"/>
  <c r="P4" i="9"/>
  <c r="T3" i="9"/>
  <c r="S3" i="9"/>
  <c r="R3" i="9"/>
  <c r="Q3" i="9"/>
  <c r="P3" i="9"/>
  <c r="B68" i="4"/>
  <c r="B64" i="4"/>
  <c r="B70" i="4"/>
  <c r="B55" i="4"/>
  <c r="B53" i="4"/>
  <c r="C18" i="4" s="1"/>
  <c r="B49" i="4"/>
  <c r="B20" i="4" s="1"/>
  <c r="B47" i="4"/>
  <c r="C42" i="4"/>
  <c r="B42" i="4"/>
  <c r="C41" i="4"/>
  <c r="B41" i="4"/>
  <c r="D41" i="4" s="1"/>
  <c r="C38" i="4"/>
  <c r="C39" i="4" s="1"/>
  <c r="B38" i="4"/>
  <c r="B39" i="4" s="1"/>
  <c r="D39" i="4" s="1"/>
  <c r="C35" i="4"/>
  <c r="C37" i="4" s="1"/>
  <c r="B35" i="4"/>
  <c r="C29" i="4"/>
  <c r="B29" i="4"/>
  <c r="C28" i="4"/>
  <c r="B28" i="4"/>
  <c r="C26" i="4"/>
  <c r="C27" i="4" s="1"/>
  <c r="B26" i="4"/>
  <c r="B34" i="4" s="1"/>
  <c r="C25" i="4"/>
  <c r="B25" i="4"/>
  <c r="C24" i="4"/>
  <c r="B24" i="4"/>
  <c r="D24" i="4" s="1"/>
  <c r="J19" i="4"/>
  <c r="E19" i="4"/>
  <c r="J18" i="4"/>
  <c r="F18" i="4"/>
  <c r="M17" i="4"/>
  <c r="J17" i="4"/>
  <c r="J20" i="4" s="1"/>
  <c r="C14" i="4" s="1"/>
  <c r="E14" i="4"/>
  <c r="N12" i="4"/>
  <c r="J12" i="4"/>
  <c r="N11" i="4"/>
  <c r="J11" i="4"/>
  <c r="H2" i="4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G2" i="4"/>
  <c r="F2" i="4"/>
  <c r="Q109" i="9"/>
  <c r="P109" i="9"/>
  <c r="G105" i="9"/>
  <c r="H105" i="9" s="1"/>
  <c r="E115" i="9" s="1"/>
  <c r="G98" i="9"/>
  <c r="H98" i="9" s="1"/>
  <c r="G97" i="9"/>
  <c r="H97" i="9" s="1"/>
  <c r="G95" i="9"/>
  <c r="G96" i="9" s="1"/>
  <c r="H96" i="9" s="1"/>
  <c r="E114" i="9" s="1"/>
  <c r="G91" i="9"/>
  <c r="H91" i="9" s="1"/>
  <c r="E120" i="9" s="1"/>
  <c r="G90" i="9"/>
  <c r="H90" i="9" s="1"/>
  <c r="E116" i="9" s="1"/>
  <c r="G89" i="9"/>
  <c r="G84" i="9"/>
  <c r="H84" i="9" s="1"/>
  <c r="E123" i="9" s="1"/>
  <c r="F124" i="9" s="1"/>
  <c r="G83" i="9"/>
  <c r="G82" i="9"/>
  <c r="G81" i="9"/>
  <c r="E75" i="9" s="1"/>
  <c r="G80" i="9"/>
  <c r="F75" i="9" s="1"/>
  <c r="G76" i="9"/>
  <c r="F76" i="9"/>
  <c r="E76" i="9"/>
  <c r="J75" i="9"/>
  <c r="I75" i="9"/>
  <c r="G75" i="9"/>
  <c r="G73" i="9"/>
  <c r="F73" i="9"/>
  <c r="T72" i="9"/>
  <c r="S72" i="9"/>
  <c r="R72" i="9"/>
  <c r="Q72" i="9"/>
  <c r="P72" i="9"/>
  <c r="T71" i="9"/>
  <c r="S71" i="9"/>
  <c r="R71" i="9"/>
  <c r="Q71" i="9"/>
  <c r="P71" i="9"/>
  <c r="T70" i="9"/>
  <c r="S70" i="9"/>
  <c r="R70" i="9"/>
  <c r="Q70" i="9"/>
  <c r="P70" i="9"/>
  <c r="T69" i="9"/>
  <c r="S69" i="9"/>
  <c r="R69" i="9"/>
  <c r="Q69" i="9"/>
  <c r="P69" i="9"/>
  <c r="T68" i="9"/>
  <c r="S68" i="9"/>
  <c r="R68" i="9"/>
  <c r="Q68" i="9"/>
  <c r="P68" i="9"/>
  <c r="T67" i="9"/>
  <c r="S67" i="9"/>
  <c r="R67" i="9"/>
  <c r="Q67" i="9"/>
  <c r="P67" i="9"/>
  <c r="B143" i="4"/>
  <c r="B154" i="4" s="1"/>
  <c r="B152" i="4"/>
  <c r="B148" i="4"/>
  <c r="B139" i="4"/>
  <c r="B137" i="4"/>
  <c r="B133" i="4"/>
  <c r="B104" i="4" s="1"/>
  <c r="B131" i="4"/>
  <c r="C126" i="4"/>
  <c r="B126" i="4"/>
  <c r="C125" i="4"/>
  <c r="B125" i="4"/>
  <c r="B140" i="4" s="1"/>
  <c r="C103" i="4" s="1"/>
  <c r="C122" i="4"/>
  <c r="C123" i="4" s="1"/>
  <c r="B122" i="4"/>
  <c r="B123" i="4" s="1"/>
  <c r="D123" i="4" s="1"/>
  <c r="C119" i="4"/>
  <c r="C121" i="4" s="1"/>
  <c r="B119" i="4"/>
  <c r="B121" i="4" s="1"/>
  <c r="C113" i="4"/>
  <c r="B113" i="4"/>
  <c r="C112" i="4"/>
  <c r="C114" i="4" s="1"/>
  <c r="B112" i="4"/>
  <c r="C110" i="4"/>
  <c r="B110" i="4"/>
  <c r="B118" i="4" s="1"/>
  <c r="C109" i="4"/>
  <c r="B109" i="4"/>
  <c r="C108" i="4"/>
  <c r="B108" i="4"/>
  <c r="D108" i="4" s="1"/>
  <c r="J103" i="4"/>
  <c r="E103" i="4"/>
  <c r="J102" i="4"/>
  <c r="F102" i="4"/>
  <c r="C102" i="4"/>
  <c r="M101" i="4"/>
  <c r="J101" i="4"/>
  <c r="J104" i="4" s="1"/>
  <c r="C98" i="4" s="1"/>
  <c r="E98" i="4"/>
  <c r="N97" i="4"/>
  <c r="N96" i="4"/>
  <c r="J96" i="4"/>
  <c r="N95" i="4"/>
  <c r="J95" i="4"/>
  <c r="F86" i="4"/>
  <c r="G86" i="4" s="1"/>
  <c r="H86" i="4" s="1"/>
  <c r="I86" i="4" s="1"/>
  <c r="J86" i="4" s="1"/>
  <c r="K86" i="4" s="1"/>
  <c r="L86" i="4" s="1"/>
  <c r="M86" i="4" s="1"/>
  <c r="N86" i="4" s="1"/>
  <c r="O86" i="4" s="1"/>
  <c r="P86" i="4" s="1"/>
  <c r="Q86" i="4" s="1"/>
  <c r="R86" i="4" s="1"/>
  <c r="S86" i="4" s="1"/>
  <c r="T86" i="4" s="1"/>
  <c r="U86" i="4" s="1"/>
  <c r="V86" i="4" s="1"/>
  <c r="W86" i="4" s="1"/>
  <c r="X86" i="4" s="1"/>
  <c r="Y86" i="4" s="1"/>
  <c r="Z86" i="4" s="1"/>
  <c r="AA86" i="4" s="1"/>
  <c r="AB86" i="4" s="1"/>
  <c r="AC86" i="4" s="1"/>
  <c r="AD86" i="4" s="1"/>
  <c r="AE86" i="4" s="1"/>
  <c r="AF86" i="4" s="1"/>
  <c r="AG86" i="4" s="1"/>
  <c r="AH86" i="4" s="1"/>
  <c r="AI86" i="4" s="1"/>
  <c r="AJ86" i="4" s="1"/>
  <c r="AK86" i="4" s="1"/>
  <c r="AL86" i="4" s="1"/>
  <c r="J187" i="4"/>
  <c r="C296" i="4"/>
  <c r="B296" i="4"/>
  <c r="J273" i="4"/>
  <c r="E273" i="4"/>
  <c r="J272" i="4"/>
  <c r="F272" i="4"/>
  <c r="M271" i="4"/>
  <c r="J271" i="4"/>
  <c r="E268" i="4"/>
  <c r="N266" i="4"/>
  <c r="J266" i="4"/>
  <c r="N265" i="4"/>
  <c r="J265" i="4"/>
  <c r="B289" i="4"/>
  <c r="B204" i="4"/>
  <c r="Q237" i="9"/>
  <c r="P237" i="9"/>
  <c r="G233" i="9"/>
  <c r="H233" i="9" s="1"/>
  <c r="E243" i="9" s="1"/>
  <c r="G226" i="9"/>
  <c r="H226" i="9" s="1"/>
  <c r="G225" i="9"/>
  <c r="H225" i="9" s="1"/>
  <c r="G223" i="9"/>
  <c r="G224" i="9" s="1"/>
  <c r="H224" i="9" s="1"/>
  <c r="E242" i="9" s="1"/>
  <c r="G219" i="9"/>
  <c r="H219" i="9" s="1"/>
  <c r="E248" i="9" s="1"/>
  <c r="G218" i="9"/>
  <c r="H218" i="9" s="1"/>
  <c r="E244" i="9" s="1"/>
  <c r="G217" i="9"/>
  <c r="G212" i="9"/>
  <c r="H212" i="9" s="1"/>
  <c r="E251" i="9" s="1"/>
  <c r="F252" i="9" s="1"/>
  <c r="G211" i="9"/>
  <c r="G210" i="9"/>
  <c r="I244" i="9" s="1"/>
  <c r="G209" i="9"/>
  <c r="E203" i="9" s="1"/>
  <c r="G208" i="9"/>
  <c r="F203" i="9" s="1"/>
  <c r="G204" i="9"/>
  <c r="F204" i="9"/>
  <c r="G234" i="9" s="1"/>
  <c r="E204" i="9"/>
  <c r="J203" i="9"/>
  <c r="I203" i="9"/>
  <c r="G203" i="9"/>
  <c r="G201" i="9"/>
  <c r="F201" i="9"/>
  <c r="T200" i="9"/>
  <c r="S200" i="9"/>
  <c r="R200" i="9"/>
  <c r="Q200" i="9"/>
  <c r="P200" i="9"/>
  <c r="T199" i="9"/>
  <c r="S199" i="9"/>
  <c r="R199" i="9"/>
  <c r="Q199" i="9"/>
  <c r="P199" i="9"/>
  <c r="T198" i="9"/>
  <c r="S198" i="9"/>
  <c r="R198" i="9"/>
  <c r="Q198" i="9"/>
  <c r="P198" i="9"/>
  <c r="T197" i="9"/>
  <c r="S197" i="9"/>
  <c r="R197" i="9"/>
  <c r="Q197" i="9"/>
  <c r="P197" i="9"/>
  <c r="T196" i="9"/>
  <c r="S196" i="9"/>
  <c r="R196" i="9"/>
  <c r="Q196" i="9"/>
  <c r="P196" i="9"/>
  <c r="T195" i="9"/>
  <c r="S195" i="9"/>
  <c r="R195" i="9"/>
  <c r="Q195" i="9"/>
  <c r="P195" i="9"/>
  <c r="B1232" i="4"/>
  <c r="B1243" i="4" s="1"/>
  <c r="B1241" i="4"/>
  <c r="B1237" i="4"/>
  <c r="B1228" i="4"/>
  <c r="B1226" i="4"/>
  <c r="C1191" i="4" s="1"/>
  <c r="B1222" i="4"/>
  <c r="B1193" i="4" s="1"/>
  <c r="B1220" i="4"/>
  <c r="C1215" i="4"/>
  <c r="B1215" i="4"/>
  <c r="C1214" i="4"/>
  <c r="B1214" i="4"/>
  <c r="D1214" i="4" s="1"/>
  <c r="C1211" i="4"/>
  <c r="C1212" i="4" s="1"/>
  <c r="B1211" i="4"/>
  <c r="B1212" i="4" s="1"/>
  <c r="D1212" i="4" s="1"/>
  <c r="C1208" i="4"/>
  <c r="B1208" i="4"/>
  <c r="C1202" i="4"/>
  <c r="B1202" i="4"/>
  <c r="C1201" i="4"/>
  <c r="B1201" i="4"/>
  <c r="C1199" i="4"/>
  <c r="C1200" i="4" s="1"/>
  <c r="B1199" i="4"/>
  <c r="B1207" i="4" s="1"/>
  <c r="C1198" i="4"/>
  <c r="B1198" i="4"/>
  <c r="C1197" i="4"/>
  <c r="B1197" i="4"/>
  <c r="J1192" i="4"/>
  <c r="E1192" i="4"/>
  <c r="J1191" i="4"/>
  <c r="F1191" i="4"/>
  <c r="M1190" i="4"/>
  <c r="J1190" i="4"/>
  <c r="E1187" i="4"/>
  <c r="N1186" i="4"/>
  <c r="N1185" i="4"/>
  <c r="J1185" i="4"/>
  <c r="N1184" i="4"/>
  <c r="J1184" i="4"/>
  <c r="F1175" i="4"/>
  <c r="G1175" i="4" s="1"/>
  <c r="H1175" i="4" s="1"/>
  <c r="I1175" i="4" s="1"/>
  <c r="J1175" i="4" s="1"/>
  <c r="K1175" i="4" s="1"/>
  <c r="L1175" i="4" s="1"/>
  <c r="M1175" i="4" s="1"/>
  <c r="N1175" i="4" s="1"/>
  <c r="O1175" i="4" s="1"/>
  <c r="P1175" i="4" s="1"/>
  <c r="Q1175" i="4" s="1"/>
  <c r="R1175" i="4" s="1"/>
  <c r="S1175" i="4" s="1"/>
  <c r="T1175" i="4" s="1"/>
  <c r="U1175" i="4" s="1"/>
  <c r="V1175" i="4" s="1"/>
  <c r="W1175" i="4" s="1"/>
  <c r="X1175" i="4" s="1"/>
  <c r="Y1175" i="4" s="1"/>
  <c r="Z1175" i="4" s="1"/>
  <c r="AA1175" i="4" s="1"/>
  <c r="AB1175" i="4" s="1"/>
  <c r="AC1175" i="4" s="1"/>
  <c r="AD1175" i="4" s="1"/>
  <c r="AE1175" i="4" s="1"/>
  <c r="AF1175" i="4" s="1"/>
  <c r="AG1175" i="4" s="1"/>
  <c r="AH1175" i="4" s="1"/>
  <c r="AI1175" i="4" s="1"/>
  <c r="AJ1175" i="4" s="1"/>
  <c r="AK1175" i="4" s="1"/>
  <c r="AL1175" i="4" s="1"/>
  <c r="B1149" i="4"/>
  <c r="B1158" i="4"/>
  <c r="B1154" i="4"/>
  <c r="B1152" i="4"/>
  <c r="B1155" i="4" s="1"/>
  <c r="B1145" i="4"/>
  <c r="B1143" i="4"/>
  <c r="B1139" i="4"/>
  <c r="B1110" i="4" s="1"/>
  <c r="B1137" i="4"/>
  <c r="C1132" i="4"/>
  <c r="B1132" i="4"/>
  <c r="C1131" i="4"/>
  <c r="B1131" i="4"/>
  <c r="B1146" i="4" s="1"/>
  <c r="C1109" i="4" s="1"/>
  <c r="C1128" i="4"/>
  <c r="C1129" i="4" s="1"/>
  <c r="B1128" i="4"/>
  <c r="B1129" i="4" s="1"/>
  <c r="D1129" i="4" s="1"/>
  <c r="C1125" i="4"/>
  <c r="B1125" i="4"/>
  <c r="C1119" i="4"/>
  <c r="B1119" i="4"/>
  <c r="C1118" i="4"/>
  <c r="B1118" i="4"/>
  <c r="C1116" i="4"/>
  <c r="C1117" i="4" s="1"/>
  <c r="B1116" i="4"/>
  <c r="G1109" i="4" s="1"/>
  <c r="G1110" i="4" s="1"/>
  <c r="D1105" i="4" s="1"/>
  <c r="C1115" i="4"/>
  <c r="B1115" i="4"/>
  <c r="C1114" i="4"/>
  <c r="C1124" i="4" s="1"/>
  <c r="B1114" i="4"/>
  <c r="D1114" i="4" s="1"/>
  <c r="J1109" i="4"/>
  <c r="E1109" i="4"/>
  <c r="J1108" i="4"/>
  <c r="F1108" i="4"/>
  <c r="M1107" i="4"/>
  <c r="J1107" i="4"/>
  <c r="E1104" i="4"/>
  <c r="N1102" i="4"/>
  <c r="J1102" i="4"/>
  <c r="N1101" i="4"/>
  <c r="J1101" i="4"/>
  <c r="F1092" i="4"/>
  <c r="G1092" i="4" s="1"/>
  <c r="H1092" i="4" s="1"/>
  <c r="I1092" i="4" s="1"/>
  <c r="J1092" i="4" s="1"/>
  <c r="K1092" i="4" s="1"/>
  <c r="L1092" i="4" s="1"/>
  <c r="M1092" i="4" s="1"/>
  <c r="N1092" i="4" s="1"/>
  <c r="O1092" i="4" s="1"/>
  <c r="P1092" i="4" s="1"/>
  <c r="Q1092" i="4" s="1"/>
  <c r="R1092" i="4" s="1"/>
  <c r="S1092" i="4" s="1"/>
  <c r="T1092" i="4" s="1"/>
  <c r="U1092" i="4" s="1"/>
  <c r="V1092" i="4" s="1"/>
  <c r="W1092" i="4" s="1"/>
  <c r="X1092" i="4" s="1"/>
  <c r="Y1092" i="4" s="1"/>
  <c r="Z1092" i="4" s="1"/>
  <c r="AA1092" i="4" s="1"/>
  <c r="AB1092" i="4" s="1"/>
  <c r="AC1092" i="4" s="1"/>
  <c r="AD1092" i="4" s="1"/>
  <c r="AE1092" i="4" s="1"/>
  <c r="AF1092" i="4" s="1"/>
  <c r="AG1092" i="4" s="1"/>
  <c r="AH1092" i="4" s="1"/>
  <c r="AI1092" i="4" s="1"/>
  <c r="AJ1092" i="4" s="1"/>
  <c r="AK1092" i="4" s="1"/>
  <c r="AL1092" i="4" s="1"/>
  <c r="B1066" i="4"/>
  <c r="B1077" i="4" s="1"/>
  <c r="B1075" i="4"/>
  <c r="B1071" i="4"/>
  <c r="B1069" i="4"/>
  <c r="B1062" i="4"/>
  <c r="B1060" i="4"/>
  <c r="B1056" i="4"/>
  <c r="B1027" i="4" s="1"/>
  <c r="B1054" i="4"/>
  <c r="C1049" i="4"/>
  <c r="B1049" i="4"/>
  <c r="C1048" i="4"/>
  <c r="B1048" i="4"/>
  <c r="D1048" i="4" s="1"/>
  <c r="C1045" i="4"/>
  <c r="C1046" i="4" s="1"/>
  <c r="B1045" i="4"/>
  <c r="B1046" i="4" s="1"/>
  <c r="D1046" i="4" s="1"/>
  <c r="C1042" i="4"/>
  <c r="B1042" i="4"/>
  <c r="C1036" i="4"/>
  <c r="B1036" i="4"/>
  <c r="C1035" i="4"/>
  <c r="B1035" i="4"/>
  <c r="C1033" i="4"/>
  <c r="C1034" i="4" s="1"/>
  <c r="B1033" i="4"/>
  <c r="B1034" i="4" s="1"/>
  <c r="C1032" i="4"/>
  <c r="B1032" i="4"/>
  <c r="C1031" i="4"/>
  <c r="C1041" i="4" s="1"/>
  <c r="B1031" i="4"/>
  <c r="J1026" i="4"/>
  <c r="E1026" i="4"/>
  <c r="J1025" i="4"/>
  <c r="F1025" i="4"/>
  <c r="C1025" i="4"/>
  <c r="M1024" i="4"/>
  <c r="J1024" i="4"/>
  <c r="J1027" i="4" s="1"/>
  <c r="C1021" i="4" s="1"/>
  <c r="E1021" i="4"/>
  <c r="N1020" i="4"/>
  <c r="N1019" i="4"/>
  <c r="J1019" i="4"/>
  <c r="N1018" i="4"/>
  <c r="J1018" i="4"/>
  <c r="F1009" i="4"/>
  <c r="G1009" i="4" s="1"/>
  <c r="H1009" i="4" s="1"/>
  <c r="I1009" i="4" s="1"/>
  <c r="J1009" i="4" s="1"/>
  <c r="K1009" i="4" s="1"/>
  <c r="L1009" i="4" s="1"/>
  <c r="M1009" i="4" s="1"/>
  <c r="N1009" i="4" s="1"/>
  <c r="O1009" i="4" s="1"/>
  <c r="P1009" i="4" s="1"/>
  <c r="Q1009" i="4" s="1"/>
  <c r="R1009" i="4" s="1"/>
  <c r="S1009" i="4" s="1"/>
  <c r="T1009" i="4" s="1"/>
  <c r="U1009" i="4" s="1"/>
  <c r="V1009" i="4" s="1"/>
  <c r="W1009" i="4" s="1"/>
  <c r="X1009" i="4" s="1"/>
  <c r="Y1009" i="4" s="1"/>
  <c r="Z1009" i="4" s="1"/>
  <c r="AA1009" i="4" s="1"/>
  <c r="AB1009" i="4" s="1"/>
  <c r="AC1009" i="4" s="1"/>
  <c r="AD1009" i="4" s="1"/>
  <c r="AE1009" i="4" s="1"/>
  <c r="AF1009" i="4" s="1"/>
  <c r="AG1009" i="4" s="1"/>
  <c r="AH1009" i="4" s="1"/>
  <c r="AI1009" i="4" s="1"/>
  <c r="AJ1009" i="4" s="1"/>
  <c r="AK1009" i="4" s="1"/>
  <c r="AL1009" i="4" s="1"/>
  <c r="B983" i="4"/>
  <c r="B992" i="4"/>
  <c r="B988" i="4"/>
  <c r="B994" i="4"/>
  <c r="B979" i="4"/>
  <c r="B977" i="4"/>
  <c r="B973" i="4"/>
  <c r="B944" i="4" s="1"/>
  <c r="B971" i="4"/>
  <c r="C966" i="4"/>
  <c r="B966" i="4"/>
  <c r="C965" i="4"/>
  <c r="B965" i="4"/>
  <c r="D965" i="4" s="1"/>
  <c r="C962" i="4"/>
  <c r="C963" i="4" s="1"/>
  <c r="B962" i="4"/>
  <c r="B963" i="4" s="1"/>
  <c r="D963" i="4" s="1"/>
  <c r="C959" i="4"/>
  <c r="B959" i="4"/>
  <c r="B961" i="4" s="1"/>
  <c r="C953" i="4"/>
  <c r="B953" i="4"/>
  <c r="C952" i="4"/>
  <c r="B952" i="4"/>
  <c r="C950" i="4"/>
  <c r="C951" i="4" s="1"/>
  <c r="B950" i="4"/>
  <c r="C949" i="4"/>
  <c r="B949" i="4"/>
  <c r="C948" i="4"/>
  <c r="B948" i="4"/>
  <c r="D948" i="4" s="1"/>
  <c r="J943" i="4"/>
  <c r="E943" i="4"/>
  <c r="J942" i="4"/>
  <c r="F942" i="4"/>
  <c r="M941" i="4"/>
  <c r="J941" i="4"/>
  <c r="E938" i="4"/>
  <c r="N937" i="4"/>
  <c r="N936" i="4"/>
  <c r="J936" i="4"/>
  <c r="N935" i="4"/>
  <c r="J935" i="4"/>
  <c r="F926" i="4"/>
  <c r="G926" i="4" s="1"/>
  <c r="H926" i="4" s="1"/>
  <c r="I926" i="4" s="1"/>
  <c r="J926" i="4" s="1"/>
  <c r="K926" i="4" s="1"/>
  <c r="L926" i="4" s="1"/>
  <c r="M926" i="4" s="1"/>
  <c r="N926" i="4" s="1"/>
  <c r="O926" i="4" s="1"/>
  <c r="P926" i="4" s="1"/>
  <c r="Q926" i="4" s="1"/>
  <c r="R926" i="4" s="1"/>
  <c r="S926" i="4" s="1"/>
  <c r="T926" i="4" s="1"/>
  <c r="U926" i="4" s="1"/>
  <c r="V926" i="4" s="1"/>
  <c r="W926" i="4" s="1"/>
  <c r="X926" i="4" s="1"/>
  <c r="Y926" i="4" s="1"/>
  <c r="Z926" i="4" s="1"/>
  <c r="AA926" i="4" s="1"/>
  <c r="AB926" i="4" s="1"/>
  <c r="AC926" i="4" s="1"/>
  <c r="AD926" i="4" s="1"/>
  <c r="AE926" i="4" s="1"/>
  <c r="AF926" i="4" s="1"/>
  <c r="AG926" i="4" s="1"/>
  <c r="AH926" i="4" s="1"/>
  <c r="AI926" i="4" s="1"/>
  <c r="AJ926" i="4" s="1"/>
  <c r="AK926" i="4" s="1"/>
  <c r="AL926" i="4" s="1"/>
  <c r="B900" i="4"/>
  <c r="B903" i="4" s="1"/>
  <c r="B793" i="4"/>
  <c r="B909" i="4"/>
  <c r="B905" i="4"/>
  <c r="B896" i="4"/>
  <c r="B894" i="4"/>
  <c r="B890" i="4"/>
  <c r="B861" i="4" s="1"/>
  <c r="B888" i="4"/>
  <c r="C883" i="4"/>
  <c r="B883" i="4"/>
  <c r="C882" i="4"/>
  <c r="B882" i="4"/>
  <c r="B897" i="4" s="1"/>
  <c r="C860" i="4" s="1"/>
  <c r="C879" i="4"/>
  <c r="C880" i="4" s="1"/>
  <c r="B879" i="4"/>
  <c r="B880" i="4" s="1"/>
  <c r="D880" i="4" s="1"/>
  <c r="C876" i="4"/>
  <c r="C878" i="4" s="1"/>
  <c r="B876" i="4"/>
  <c r="B878" i="4" s="1"/>
  <c r="C870" i="4"/>
  <c r="B870" i="4"/>
  <c r="C869" i="4"/>
  <c r="C871" i="4" s="1"/>
  <c r="B869" i="4"/>
  <c r="C867" i="4"/>
  <c r="C868" i="4" s="1"/>
  <c r="B867" i="4"/>
  <c r="C866" i="4"/>
  <c r="B866" i="4"/>
  <c r="C865" i="4"/>
  <c r="B865" i="4"/>
  <c r="J860" i="4"/>
  <c r="E860" i="4"/>
  <c r="J859" i="4"/>
  <c r="F859" i="4"/>
  <c r="M858" i="4"/>
  <c r="J858" i="4"/>
  <c r="E855" i="4"/>
  <c r="N854" i="4"/>
  <c r="N853" i="4"/>
  <c r="J853" i="4"/>
  <c r="N852" i="4"/>
  <c r="J852" i="4"/>
  <c r="F843" i="4"/>
  <c r="G843" i="4" s="1"/>
  <c r="H843" i="4" s="1"/>
  <c r="I843" i="4" s="1"/>
  <c r="J843" i="4" s="1"/>
  <c r="K843" i="4" s="1"/>
  <c r="L843" i="4" s="1"/>
  <c r="M843" i="4" s="1"/>
  <c r="N843" i="4" s="1"/>
  <c r="O843" i="4" s="1"/>
  <c r="P843" i="4" s="1"/>
  <c r="Q843" i="4" s="1"/>
  <c r="R843" i="4" s="1"/>
  <c r="S843" i="4" s="1"/>
  <c r="T843" i="4" s="1"/>
  <c r="U843" i="4" s="1"/>
  <c r="V843" i="4" s="1"/>
  <c r="W843" i="4" s="1"/>
  <c r="X843" i="4" s="1"/>
  <c r="Y843" i="4" s="1"/>
  <c r="Z843" i="4" s="1"/>
  <c r="AA843" i="4" s="1"/>
  <c r="AB843" i="4" s="1"/>
  <c r="AC843" i="4" s="1"/>
  <c r="AD843" i="4" s="1"/>
  <c r="AE843" i="4" s="1"/>
  <c r="AF843" i="4" s="1"/>
  <c r="AG843" i="4" s="1"/>
  <c r="AH843" i="4" s="1"/>
  <c r="AI843" i="4" s="1"/>
  <c r="AJ843" i="4" s="1"/>
  <c r="AK843" i="4" s="1"/>
  <c r="AL843" i="4" s="1"/>
  <c r="Q11" i="9" l="1"/>
  <c r="R11" i="9"/>
  <c r="D42" i="4"/>
  <c r="N14" i="4" s="1"/>
  <c r="D25" i="4"/>
  <c r="B30" i="4"/>
  <c r="N15" i="4" s="1"/>
  <c r="C30" i="4"/>
  <c r="B32" i="4"/>
  <c r="C32" i="4"/>
  <c r="C34" i="4"/>
  <c r="B36" i="4"/>
  <c r="Q12" i="9"/>
  <c r="R12" i="9"/>
  <c r="P11" i="9"/>
  <c r="G23" i="9"/>
  <c r="I50" i="9"/>
  <c r="K50" i="9" s="1"/>
  <c r="P12" i="9"/>
  <c r="G24" i="9"/>
  <c r="F24" i="9" s="1"/>
  <c r="G106" i="9"/>
  <c r="H42" i="9"/>
  <c r="E47" i="9" s="1"/>
  <c r="G22" i="9"/>
  <c r="G38" i="9" s="1"/>
  <c r="G39" i="9" s="1"/>
  <c r="F53" i="9"/>
  <c r="I51" i="9"/>
  <c r="K51" i="9" s="1"/>
  <c r="G36" i="9"/>
  <c r="H36" i="9" s="1"/>
  <c r="E55" i="9" s="1"/>
  <c r="F57" i="9" s="1"/>
  <c r="G21" i="9"/>
  <c r="H21" i="9" s="1"/>
  <c r="I116" i="9"/>
  <c r="K116" i="9" s="1"/>
  <c r="I52" i="9"/>
  <c r="K52" i="9" s="1"/>
  <c r="D32" i="4"/>
  <c r="F19" i="4"/>
  <c r="F20" i="4" s="1"/>
  <c r="C15" i="4" s="1"/>
  <c r="D34" i="4"/>
  <c r="F14" i="4"/>
  <c r="C70" i="4"/>
  <c r="G19" i="4"/>
  <c r="G20" i="4" s="1"/>
  <c r="D15" i="4" s="1"/>
  <c r="C961" i="4"/>
  <c r="F12" i="4"/>
  <c r="N17" i="4"/>
  <c r="B56" i="4"/>
  <c r="B62" i="4"/>
  <c r="B65" i="4" s="1"/>
  <c r="D26" i="4" s="1"/>
  <c r="B27" i="4"/>
  <c r="C36" i="4"/>
  <c r="J944" i="4"/>
  <c r="C938" i="4" s="1"/>
  <c r="B37" i="4"/>
  <c r="N13" i="4"/>
  <c r="D1031" i="4"/>
  <c r="C31" i="4"/>
  <c r="B31" i="4"/>
  <c r="C1039" i="4"/>
  <c r="B954" i="4"/>
  <c r="B1044" i="4"/>
  <c r="D1044" i="4" s="1"/>
  <c r="C954" i="4"/>
  <c r="J1110" i="4"/>
  <c r="C1104" i="4" s="1"/>
  <c r="D1197" i="4"/>
  <c r="P75" i="9"/>
  <c r="Q75" i="9"/>
  <c r="Q76" i="9"/>
  <c r="G85" i="9"/>
  <c r="H85" i="9" s="1"/>
  <c r="R76" i="9"/>
  <c r="G87" i="9"/>
  <c r="G88" i="9"/>
  <c r="I114" i="9"/>
  <c r="K114" i="9" s="1"/>
  <c r="F117" i="9"/>
  <c r="H106" i="9"/>
  <c r="E111" i="9" s="1"/>
  <c r="G86" i="9"/>
  <c r="G102" i="9" s="1"/>
  <c r="G103" i="9" s="1"/>
  <c r="H88" i="9"/>
  <c r="E110" i="9" s="1"/>
  <c r="F88" i="9"/>
  <c r="I115" i="9"/>
  <c r="K115" i="9" s="1"/>
  <c r="R75" i="9"/>
  <c r="P76" i="9"/>
  <c r="G100" i="9"/>
  <c r="H100" i="9" s="1"/>
  <c r="E119" i="9" s="1"/>
  <c r="F121" i="9" s="1"/>
  <c r="Q203" i="9"/>
  <c r="B116" i="4"/>
  <c r="D116" i="4" s="1"/>
  <c r="D126" i="4"/>
  <c r="N98" i="4" s="1"/>
  <c r="D125" i="4"/>
  <c r="D109" i="4"/>
  <c r="C115" i="4"/>
  <c r="C116" i="4"/>
  <c r="B114" i="4"/>
  <c r="N99" i="4" s="1"/>
  <c r="F97" i="4"/>
  <c r="D121" i="4"/>
  <c r="C154" i="4"/>
  <c r="F98" i="4"/>
  <c r="B149" i="4"/>
  <c r="D110" i="4" s="1"/>
  <c r="C118" i="4"/>
  <c r="F96" i="4"/>
  <c r="B111" i="4"/>
  <c r="J97" i="4"/>
  <c r="J98" i="4" s="1"/>
  <c r="C97" i="4" s="1"/>
  <c r="B120" i="4"/>
  <c r="N101" i="4" s="1"/>
  <c r="B1203" i="4"/>
  <c r="N1188" i="4" s="1"/>
  <c r="B1209" i="4"/>
  <c r="C942" i="4"/>
  <c r="C1203" i="4"/>
  <c r="J274" i="4"/>
  <c r="C268" i="4" s="1"/>
  <c r="C1204" i="4"/>
  <c r="B1122" i="4"/>
  <c r="D1122" i="4" s="1"/>
  <c r="C1207" i="4"/>
  <c r="B146" i="4"/>
  <c r="B1205" i="4"/>
  <c r="G1192" i="4" s="1"/>
  <c r="G1193" i="4" s="1"/>
  <c r="D1188" i="4" s="1"/>
  <c r="C1037" i="4"/>
  <c r="C1122" i="4"/>
  <c r="B1210" i="4"/>
  <c r="D1210" i="4" s="1"/>
  <c r="D865" i="4"/>
  <c r="B958" i="4"/>
  <c r="F936" i="4" s="1"/>
  <c r="B1124" i="4"/>
  <c r="D1124" i="4" s="1"/>
  <c r="C1210" i="4"/>
  <c r="B115" i="4"/>
  <c r="C1108" i="4"/>
  <c r="C120" i="4"/>
  <c r="C111" i="4"/>
  <c r="B1041" i="4"/>
  <c r="B1127" i="4"/>
  <c r="F1103" i="4" s="1"/>
  <c r="C1127" i="4"/>
  <c r="J1193" i="4"/>
  <c r="C1187" i="4" s="1"/>
  <c r="N1103" i="4"/>
  <c r="Q204" i="9"/>
  <c r="P204" i="9"/>
  <c r="G215" i="9"/>
  <c r="R203" i="9"/>
  <c r="G216" i="9"/>
  <c r="H216" i="9" s="1"/>
  <c r="E238" i="9" s="1"/>
  <c r="I242" i="9"/>
  <c r="K242" i="9" s="1"/>
  <c r="P203" i="9"/>
  <c r="H234" i="9"/>
  <c r="E239" i="9" s="1"/>
  <c r="G214" i="9"/>
  <c r="G230" i="9" s="1"/>
  <c r="G231" i="9" s="1"/>
  <c r="F216" i="9"/>
  <c r="F245" i="9"/>
  <c r="K244" i="9"/>
  <c r="R204" i="9"/>
  <c r="G228" i="9"/>
  <c r="H228" i="9" s="1"/>
  <c r="E247" i="9" s="1"/>
  <c r="F249" i="9" s="1"/>
  <c r="G213" i="9"/>
  <c r="H213" i="9" s="1"/>
  <c r="I243" i="9"/>
  <c r="K243" i="9" s="1"/>
  <c r="D1215" i="4"/>
  <c r="N1187" i="4" s="1"/>
  <c r="D1198" i="4"/>
  <c r="B1229" i="4"/>
  <c r="C1192" i="4" s="1"/>
  <c r="C1243" i="4"/>
  <c r="F1187" i="4"/>
  <c r="N1190" i="4"/>
  <c r="B1235" i="4"/>
  <c r="B1238" i="4" s="1"/>
  <c r="D1199" i="4" s="1"/>
  <c r="B1200" i="4"/>
  <c r="C1209" i="4"/>
  <c r="B1204" i="4"/>
  <c r="D1207" i="4" s="1"/>
  <c r="C1205" i="4"/>
  <c r="F1185" i="4"/>
  <c r="D1131" i="4"/>
  <c r="D1132" i="4"/>
  <c r="N1104" i="4" s="1"/>
  <c r="D1115" i="4"/>
  <c r="B1120" i="4"/>
  <c r="N1105" i="4" s="1"/>
  <c r="C1120" i="4"/>
  <c r="D1127" i="4"/>
  <c r="B1126" i="4"/>
  <c r="N1107" i="4" s="1"/>
  <c r="B1117" i="4"/>
  <c r="C1126" i="4"/>
  <c r="J1103" i="4"/>
  <c r="J1104" i="4" s="1"/>
  <c r="C1103" i="4" s="1"/>
  <c r="B1160" i="4"/>
  <c r="B1121" i="4"/>
  <c r="D1116" i="4"/>
  <c r="C1121" i="4"/>
  <c r="D1032" i="4"/>
  <c r="D1049" i="4"/>
  <c r="N1021" i="4" s="1"/>
  <c r="B1063" i="4"/>
  <c r="C1026" i="4" s="1"/>
  <c r="B1037" i="4"/>
  <c r="N1022" i="4" s="1"/>
  <c r="B1073" i="4"/>
  <c r="B1043" i="4"/>
  <c r="N1024" i="4" s="1"/>
  <c r="F1019" i="4"/>
  <c r="C1077" i="4"/>
  <c r="F1021" i="4"/>
  <c r="C1044" i="4"/>
  <c r="C1043" i="4"/>
  <c r="B1072" i="4"/>
  <c r="C1073" i="4" s="1"/>
  <c r="C1027" i="4" s="1"/>
  <c r="B1039" i="4"/>
  <c r="B1038" i="4"/>
  <c r="C1038" i="4"/>
  <c r="B956" i="4"/>
  <c r="F943" i="4" s="1"/>
  <c r="F944" i="4" s="1"/>
  <c r="C939" i="4" s="1"/>
  <c r="C955" i="4"/>
  <c r="C958" i="4"/>
  <c r="D966" i="4"/>
  <c r="N938" i="4" s="1"/>
  <c r="D949" i="4"/>
  <c r="B980" i="4"/>
  <c r="C943" i="4" s="1"/>
  <c r="N939" i="4"/>
  <c r="D961" i="4"/>
  <c r="F937" i="4"/>
  <c r="C994" i="4"/>
  <c r="F938" i="4"/>
  <c r="B960" i="4"/>
  <c r="N941" i="4" s="1"/>
  <c r="B986" i="4"/>
  <c r="B989" i="4" s="1"/>
  <c r="D950" i="4" s="1"/>
  <c r="B951" i="4"/>
  <c r="B955" i="4"/>
  <c r="C956" i="4"/>
  <c r="C960" i="4"/>
  <c r="J861" i="4"/>
  <c r="C855" i="4" s="1"/>
  <c r="B873" i="4"/>
  <c r="G860" i="4" s="1"/>
  <c r="G861" i="4" s="1"/>
  <c r="D856" i="4" s="1"/>
  <c r="C873" i="4"/>
  <c r="B875" i="4"/>
  <c r="F853" i="4" s="1"/>
  <c r="C875" i="4"/>
  <c r="D882" i="4"/>
  <c r="D883" i="4"/>
  <c r="N855" i="4" s="1"/>
  <c r="C859" i="4"/>
  <c r="D866" i="4"/>
  <c r="B871" i="4"/>
  <c r="D878" i="4"/>
  <c r="F854" i="4"/>
  <c r="B906" i="4"/>
  <c r="D867" i="4" s="1"/>
  <c r="N856" i="4"/>
  <c r="C877" i="4"/>
  <c r="B911" i="4"/>
  <c r="B872" i="4"/>
  <c r="B877" i="4"/>
  <c r="N858" i="4" s="1"/>
  <c r="B868" i="4"/>
  <c r="J854" i="4"/>
  <c r="J855" i="4" s="1"/>
  <c r="C854" i="4" s="1"/>
  <c r="C872" i="4"/>
  <c r="H24" i="9" l="1"/>
  <c r="E46" i="9" s="1"/>
  <c r="H40" i="9"/>
  <c r="E45" i="9" s="1"/>
  <c r="F48" i="9" s="1"/>
  <c r="F62" i="9" s="1"/>
  <c r="F63" i="9" s="1"/>
  <c r="G40" i="9"/>
  <c r="F1102" i="4"/>
  <c r="F1192" i="4"/>
  <c r="F1193" i="4" s="1"/>
  <c r="C1188" i="4" s="1"/>
  <c r="F1020" i="4"/>
  <c r="D1205" i="4"/>
  <c r="N16" i="4"/>
  <c r="N18" i="4" s="1"/>
  <c r="C12" i="4" s="1"/>
  <c r="D31" i="4"/>
  <c r="D30" i="4"/>
  <c r="J1020" i="4"/>
  <c r="J1021" i="4" s="1"/>
  <c r="C1020" i="4" s="1"/>
  <c r="D37" i="4"/>
  <c r="C66" i="4"/>
  <c r="C20" i="4" s="1"/>
  <c r="B66" i="4"/>
  <c r="D27" i="4"/>
  <c r="C19" i="4"/>
  <c r="J13" i="4"/>
  <c r="J14" i="4" s="1"/>
  <c r="C13" i="4" s="1"/>
  <c r="F1186" i="4"/>
  <c r="J937" i="4"/>
  <c r="J938" i="4" s="1"/>
  <c r="C937" i="4" s="1"/>
  <c r="D1120" i="4"/>
  <c r="D1037" i="4"/>
  <c r="H104" i="9"/>
  <c r="E109" i="9" s="1"/>
  <c r="F112" i="9" s="1"/>
  <c r="F126" i="9" s="1"/>
  <c r="F127" i="9" s="1"/>
  <c r="G104" i="9"/>
  <c r="F103" i="4"/>
  <c r="F104" i="4" s="1"/>
  <c r="C99" i="4" s="1"/>
  <c r="G103" i="4"/>
  <c r="G104" i="4" s="1"/>
  <c r="D99" i="4" s="1"/>
  <c r="D114" i="4"/>
  <c r="C150" i="4"/>
  <c r="C104" i="4" s="1"/>
  <c r="D111" i="4"/>
  <c r="B150" i="4"/>
  <c r="F860" i="4"/>
  <c r="F861" i="4" s="1"/>
  <c r="C856" i="4" s="1"/>
  <c r="F1109" i="4"/>
  <c r="F1110" i="4" s="1"/>
  <c r="C1105" i="4" s="1"/>
  <c r="D873" i="4"/>
  <c r="D956" i="4"/>
  <c r="D118" i="4"/>
  <c r="N100" i="4"/>
  <c r="N102" i="4" s="1"/>
  <c r="C96" i="4" s="1"/>
  <c r="D115" i="4"/>
  <c r="G943" i="4"/>
  <c r="G944" i="4" s="1"/>
  <c r="D939" i="4" s="1"/>
  <c r="H232" i="9"/>
  <c r="E237" i="9" s="1"/>
  <c r="F240" i="9" s="1"/>
  <c r="F254" i="9" s="1"/>
  <c r="F255" i="9" s="1"/>
  <c r="G232" i="9"/>
  <c r="J1186" i="4"/>
  <c r="J1187" i="4" s="1"/>
  <c r="C1186" i="4" s="1"/>
  <c r="D1204" i="4"/>
  <c r="N1189" i="4"/>
  <c r="N1191" i="4" s="1"/>
  <c r="C1185" i="4" s="1"/>
  <c r="C1239" i="4"/>
  <c r="C1193" i="4" s="1"/>
  <c r="B1239" i="4"/>
  <c r="D1200" i="4"/>
  <c r="D1203" i="4"/>
  <c r="C1160" i="4"/>
  <c r="F1104" i="4"/>
  <c r="N1106" i="4"/>
  <c r="N1108" i="4" s="1"/>
  <c r="C1102" i="4" s="1"/>
  <c r="D1121" i="4"/>
  <c r="B1156" i="4"/>
  <c r="D1117" i="4"/>
  <c r="C1156" i="4"/>
  <c r="C1110" i="4" s="1"/>
  <c r="D1039" i="4"/>
  <c r="F1026" i="4"/>
  <c r="F1027" i="4" s="1"/>
  <c r="C1022" i="4" s="1"/>
  <c r="G1026" i="4"/>
  <c r="G1027" i="4" s="1"/>
  <c r="D1022" i="4" s="1"/>
  <c r="D1033" i="4"/>
  <c r="D1034" i="4"/>
  <c r="B1078" i="4"/>
  <c r="B1074" i="4"/>
  <c r="C1072" i="4"/>
  <c r="N1023" i="4"/>
  <c r="N1025" i="4" s="1"/>
  <c r="C1019" i="4" s="1"/>
  <c r="D1038" i="4"/>
  <c r="D1041" i="4"/>
  <c r="N940" i="4"/>
  <c r="N942" i="4" s="1"/>
  <c r="C936" i="4" s="1"/>
  <c r="D955" i="4"/>
  <c r="B990" i="4"/>
  <c r="C990" i="4"/>
  <c r="C944" i="4" s="1"/>
  <c r="D951" i="4"/>
  <c r="D958" i="4"/>
  <c r="D954" i="4"/>
  <c r="D875" i="4"/>
  <c r="N857" i="4"/>
  <c r="N859" i="4" s="1"/>
  <c r="C853" i="4" s="1"/>
  <c r="D872" i="4"/>
  <c r="D871" i="4"/>
  <c r="B907" i="4"/>
  <c r="D868" i="4"/>
  <c r="C907" i="4"/>
  <c r="C861" i="4" s="1"/>
  <c r="C911" i="4"/>
  <c r="F855" i="4"/>
  <c r="B71" i="4" l="1"/>
  <c r="B67" i="4"/>
  <c r="C65" i="4"/>
  <c r="B155" i="4"/>
  <c r="B151" i="4"/>
  <c r="C149" i="4"/>
  <c r="B1244" i="4"/>
  <c r="B1245" i="4"/>
  <c r="C1245" i="4" s="1"/>
  <c r="B1240" i="4"/>
  <c r="C1238" i="4"/>
  <c r="B1162" i="4"/>
  <c r="C1162" i="4" s="1"/>
  <c r="B1161" i="4"/>
  <c r="B1157" i="4"/>
  <c r="C1155" i="4"/>
  <c r="F1018" i="4"/>
  <c r="F1022" i="4" s="1"/>
  <c r="C1018" i="4" s="1"/>
  <c r="C1076" i="4"/>
  <c r="B1026" i="4" s="1"/>
  <c r="C1074" i="4"/>
  <c r="G1078" i="4"/>
  <c r="C1078" i="4"/>
  <c r="B1079" i="4"/>
  <c r="C1079" i="4" s="1"/>
  <c r="B995" i="4"/>
  <c r="B991" i="4"/>
  <c r="C989" i="4"/>
  <c r="B912" i="4"/>
  <c r="B913" i="4" s="1"/>
  <c r="C913" i="4" s="1"/>
  <c r="B908" i="4"/>
  <c r="C906" i="4"/>
  <c r="F11" i="4" l="1"/>
  <c r="F15" i="4" s="1"/>
  <c r="C11" i="4" s="1"/>
  <c r="C69" i="4"/>
  <c r="B19" i="4" s="1"/>
  <c r="C67" i="4"/>
  <c r="G71" i="4"/>
  <c r="C71" i="4"/>
  <c r="B72" i="4"/>
  <c r="C72" i="4" s="1"/>
  <c r="G155" i="4"/>
  <c r="C155" i="4"/>
  <c r="B156" i="4"/>
  <c r="C156" i="4" s="1"/>
  <c r="F95" i="4"/>
  <c r="F99" i="4" s="1"/>
  <c r="C95" i="4" s="1"/>
  <c r="C153" i="4"/>
  <c r="B103" i="4" s="1"/>
  <c r="C151" i="4"/>
  <c r="C1242" i="4"/>
  <c r="B1192" i="4" s="1"/>
  <c r="C1240" i="4"/>
  <c r="F1184" i="4"/>
  <c r="F1188" i="4" s="1"/>
  <c r="C1184" i="4" s="1"/>
  <c r="G1244" i="4"/>
  <c r="C1244" i="4"/>
  <c r="G1161" i="4"/>
  <c r="C1161" i="4"/>
  <c r="F1101" i="4"/>
  <c r="F1105" i="4" s="1"/>
  <c r="C1101" i="4" s="1"/>
  <c r="C1157" i="4"/>
  <c r="C1159" i="4"/>
  <c r="B1109" i="4" s="1"/>
  <c r="B1024" i="4"/>
  <c r="B1023" i="4"/>
  <c r="F935" i="4"/>
  <c r="F939" i="4" s="1"/>
  <c r="C935" i="4" s="1"/>
  <c r="C993" i="4"/>
  <c r="B943" i="4" s="1"/>
  <c r="C991" i="4"/>
  <c r="G995" i="4"/>
  <c r="C995" i="4"/>
  <c r="B996" i="4"/>
  <c r="C996" i="4" s="1"/>
  <c r="F852" i="4"/>
  <c r="F856" i="4" s="1"/>
  <c r="C852" i="4" s="1"/>
  <c r="C908" i="4"/>
  <c r="C910" i="4"/>
  <c r="B860" i="4" s="1"/>
  <c r="G912" i="4"/>
  <c r="C912" i="4"/>
  <c r="B17" i="4" l="1"/>
  <c r="B16" i="4"/>
  <c r="B101" i="4"/>
  <c r="B100" i="4"/>
  <c r="B1189" i="4"/>
  <c r="B1190" i="4"/>
  <c r="B1107" i="4"/>
  <c r="B1106" i="4"/>
  <c r="C1024" i="4"/>
  <c r="B1025" i="4"/>
  <c r="B941" i="4"/>
  <c r="B940" i="4"/>
  <c r="B858" i="4"/>
  <c r="B857" i="4"/>
  <c r="C17" i="4" l="1"/>
  <c r="B18" i="4"/>
  <c r="C101" i="4"/>
  <c r="B102" i="4"/>
  <c r="C1190" i="4"/>
  <c r="B1191" i="4"/>
  <c r="C1107" i="4"/>
  <c r="B1108" i="4"/>
  <c r="C941" i="4"/>
  <c r="B942" i="4"/>
  <c r="C858" i="4"/>
  <c r="B859" i="4"/>
  <c r="B817" i="4" l="1"/>
  <c r="B828" i="4" s="1"/>
  <c r="B826" i="4"/>
  <c r="B822" i="4"/>
  <c r="B813" i="4"/>
  <c r="B811" i="4"/>
  <c r="B807" i="4"/>
  <c r="B778" i="4" s="1"/>
  <c r="B805" i="4"/>
  <c r="C800" i="4"/>
  <c r="B800" i="4"/>
  <c r="C799" i="4"/>
  <c r="B799" i="4"/>
  <c r="D799" i="4" s="1"/>
  <c r="C796" i="4"/>
  <c r="C797" i="4" s="1"/>
  <c r="B796" i="4"/>
  <c r="B797" i="4" s="1"/>
  <c r="D797" i="4" s="1"/>
  <c r="C793" i="4"/>
  <c r="C787" i="4"/>
  <c r="B787" i="4"/>
  <c r="C786" i="4"/>
  <c r="B786" i="4"/>
  <c r="C784" i="4"/>
  <c r="C785" i="4" s="1"/>
  <c r="B784" i="4"/>
  <c r="C783" i="4"/>
  <c r="B783" i="4"/>
  <c r="C782" i="4"/>
  <c r="B782" i="4"/>
  <c r="J777" i="4"/>
  <c r="E777" i="4"/>
  <c r="J776" i="4"/>
  <c r="F776" i="4"/>
  <c r="C776" i="4"/>
  <c r="M775" i="4"/>
  <c r="J775" i="4"/>
  <c r="J778" i="4" s="1"/>
  <c r="C772" i="4" s="1"/>
  <c r="E772" i="4"/>
  <c r="N770" i="4"/>
  <c r="J770" i="4"/>
  <c r="N769" i="4"/>
  <c r="J769" i="4"/>
  <c r="F760" i="4"/>
  <c r="G760" i="4" s="1"/>
  <c r="H760" i="4" s="1"/>
  <c r="I760" i="4" s="1"/>
  <c r="J760" i="4" s="1"/>
  <c r="K760" i="4" s="1"/>
  <c r="L760" i="4" s="1"/>
  <c r="M760" i="4" s="1"/>
  <c r="N760" i="4" s="1"/>
  <c r="O760" i="4" s="1"/>
  <c r="P760" i="4" s="1"/>
  <c r="Q760" i="4" s="1"/>
  <c r="R760" i="4" s="1"/>
  <c r="S760" i="4" s="1"/>
  <c r="T760" i="4" s="1"/>
  <c r="U760" i="4" s="1"/>
  <c r="V760" i="4" s="1"/>
  <c r="W760" i="4" s="1"/>
  <c r="X760" i="4" s="1"/>
  <c r="Y760" i="4" s="1"/>
  <c r="Z760" i="4" s="1"/>
  <c r="AA760" i="4" s="1"/>
  <c r="AB760" i="4" s="1"/>
  <c r="AC760" i="4" s="1"/>
  <c r="AD760" i="4" s="1"/>
  <c r="AE760" i="4" s="1"/>
  <c r="AF760" i="4" s="1"/>
  <c r="AG760" i="4" s="1"/>
  <c r="AH760" i="4" s="1"/>
  <c r="AI760" i="4" s="1"/>
  <c r="AJ760" i="4" s="1"/>
  <c r="AK760" i="4" s="1"/>
  <c r="AL760" i="4" s="1"/>
  <c r="B733" i="4"/>
  <c r="B744" i="4" s="1"/>
  <c r="B742" i="4"/>
  <c r="B738" i="4"/>
  <c r="B729" i="4"/>
  <c r="B727" i="4"/>
  <c r="B723" i="4"/>
  <c r="B694" i="4" s="1"/>
  <c r="B721" i="4"/>
  <c r="C692" i="4" s="1"/>
  <c r="C716" i="4"/>
  <c r="B716" i="4"/>
  <c r="C715" i="4"/>
  <c r="B715" i="4"/>
  <c r="D715" i="4" s="1"/>
  <c r="C712" i="4"/>
  <c r="C713" i="4" s="1"/>
  <c r="B712" i="4"/>
  <c r="B713" i="4" s="1"/>
  <c r="D713" i="4" s="1"/>
  <c r="C709" i="4"/>
  <c r="B709" i="4"/>
  <c r="C703" i="4"/>
  <c r="B703" i="4"/>
  <c r="C702" i="4"/>
  <c r="B702" i="4"/>
  <c r="C700" i="4"/>
  <c r="C701" i="4" s="1"/>
  <c r="B700" i="4"/>
  <c r="C699" i="4"/>
  <c r="B699" i="4"/>
  <c r="C698" i="4"/>
  <c r="B698" i="4"/>
  <c r="J693" i="4"/>
  <c r="E693" i="4"/>
  <c r="J692" i="4"/>
  <c r="F692" i="4"/>
  <c r="M691" i="4"/>
  <c r="J691" i="4"/>
  <c r="E688" i="4"/>
  <c r="N686" i="4"/>
  <c r="J686" i="4"/>
  <c r="N685" i="4"/>
  <c r="J685" i="4"/>
  <c r="F676" i="4"/>
  <c r="G676" i="4" s="1"/>
  <c r="H676" i="4" s="1"/>
  <c r="I676" i="4" s="1"/>
  <c r="J676" i="4" s="1"/>
  <c r="K676" i="4" s="1"/>
  <c r="L676" i="4" s="1"/>
  <c r="M676" i="4" s="1"/>
  <c r="N676" i="4" s="1"/>
  <c r="O676" i="4" s="1"/>
  <c r="P676" i="4" s="1"/>
  <c r="Q676" i="4" s="1"/>
  <c r="R676" i="4" s="1"/>
  <c r="S676" i="4" s="1"/>
  <c r="T676" i="4" s="1"/>
  <c r="U676" i="4" s="1"/>
  <c r="V676" i="4" s="1"/>
  <c r="W676" i="4" s="1"/>
  <c r="X676" i="4" s="1"/>
  <c r="Y676" i="4" s="1"/>
  <c r="Z676" i="4" s="1"/>
  <c r="AA676" i="4" s="1"/>
  <c r="AB676" i="4" s="1"/>
  <c r="AC676" i="4" s="1"/>
  <c r="AD676" i="4" s="1"/>
  <c r="AE676" i="4" s="1"/>
  <c r="AF676" i="4" s="1"/>
  <c r="AG676" i="4" s="1"/>
  <c r="AH676" i="4" s="1"/>
  <c r="AI676" i="4" s="1"/>
  <c r="AJ676" i="4" s="1"/>
  <c r="AK676" i="4" s="1"/>
  <c r="AL676" i="4" s="1"/>
  <c r="J609" i="4"/>
  <c r="C633" i="4"/>
  <c r="B633" i="4"/>
  <c r="M608" i="4"/>
  <c r="N603" i="4"/>
  <c r="N602" i="4"/>
  <c r="C211" i="4"/>
  <c r="B211" i="4"/>
  <c r="B632" i="4"/>
  <c r="B647" i="4" s="1"/>
  <c r="C610" i="4" s="1"/>
  <c r="B650" i="4"/>
  <c r="B653" i="4" s="1"/>
  <c r="B659" i="4"/>
  <c r="B655" i="4"/>
  <c r="B646" i="4"/>
  <c r="B644" i="4"/>
  <c r="B640" i="4"/>
  <c r="B611" i="4" s="1"/>
  <c r="B638" i="4"/>
  <c r="C632" i="4"/>
  <c r="B629" i="4"/>
  <c r="B630" i="4" s="1"/>
  <c r="D630" i="4" s="1"/>
  <c r="C626" i="4"/>
  <c r="B626" i="4"/>
  <c r="C620" i="4"/>
  <c r="B620" i="4"/>
  <c r="C619" i="4"/>
  <c r="B619" i="4"/>
  <c r="C617" i="4"/>
  <c r="C618" i="4" s="1"/>
  <c r="B617" i="4"/>
  <c r="B618" i="4" s="1"/>
  <c r="C616" i="4"/>
  <c r="B616" i="4"/>
  <c r="C615" i="4"/>
  <c r="B615" i="4"/>
  <c r="J610" i="4"/>
  <c r="E610" i="4"/>
  <c r="F609" i="4"/>
  <c r="J608" i="4"/>
  <c r="E605" i="4"/>
  <c r="J603" i="4"/>
  <c r="J602" i="4"/>
  <c r="AM599" i="4"/>
  <c r="AM598" i="4"/>
  <c r="AM597" i="4"/>
  <c r="AM596" i="4"/>
  <c r="AM595" i="4"/>
  <c r="C629" i="4" s="1"/>
  <c r="C630" i="4" s="1"/>
  <c r="AH593" i="4"/>
  <c r="AI593" i="4" s="1"/>
  <c r="AJ593" i="4" s="1"/>
  <c r="AK593" i="4" s="1"/>
  <c r="AL593" i="4" s="1"/>
  <c r="AF593" i="4"/>
  <c r="Y593" i="4"/>
  <c r="W593" i="4"/>
  <c r="P593" i="4"/>
  <c r="N593" i="4"/>
  <c r="G593" i="4"/>
  <c r="E593" i="4"/>
  <c r="B228" i="4"/>
  <c r="B231" i="4" s="1"/>
  <c r="P132" i="9"/>
  <c r="Q173" i="9"/>
  <c r="P173" i="9"/>
  <c r="G169" i="9"/>
  <c r="H169" i="9" s="1"/>
  <c r="E179" i="9" s="1"/>
  <c r="G162" i="9"/>
  <c r="H162" i="9" s="1"/>
  <c r="G161" i="9"/>
  <c r="H161" i="9" s="1"/>
  <c r="G159" i="9"/>
  <c r="G160" i="9" s="1"/>
  <c r="H160" i="9" s="1"/>
  <c r="E178" i="9" s="1"/>
  <c r="G155" i="9"/>
  <c r="H155" i="9" s="1"/>
  <c r="E184" i="9" s="1"/>
  <c r="G154" i="9"/>
  <c r="H154" i="9" s="1"/>
  <c r="E180" i="9" s="1"/>
  <c r="G153" i="9"/>
  <c r="G148" i="9"/>
  <c r="H148" i="9" s="1"/>
  <c r="E187" i="9" s="1"/>
  <c r="F188" i="9" s="1"/>
  <c r="G147" i="9"/>
  <c r="G146" i="9"/>
  <c r="G145" i="9"/>
  <c r="E139" i="9" s="1"/>
  <c r="G144" i="9"/>
  <c r="F139" i="9" s="1"/>
  <c r="G140" i="9"/>
  <c r="F140" i="9"/>
  <c r="G170" i="9" s="1"/>
  <c r="E140" i="9"/>
  <c r="J139" i="9"/>
  <c r="I139" i="9"/>
  <c r="G139" i="9"/>
  <c r="G137" i="9"/>
  <c r="F137" i="9"/>
  <c r="T136" i="9"/>
  <c r="S136" i="9"/>
  <c r="R136" i="9"/>
  <c r="Q136" i="9"/>
  <c r="P136" i="9"/>
  <c r="T135" i="9"/>
  <c r="S135" i="9"/>
  <c r="R135" i="9"/>
  <c r="Q135" i="9"/>
  <c r="P135" i="9"/>
  <c r="T134" i="9"/>
  <c r="S134" i="9"/>
  <c r="R134" i="9"/>
  <c r="Q134" i="9"/>
  <c r="P134" i="9"/>
  <c r="T133" i="9"/>
  <c r="S133" i="9"/>
  <c r="R133" i="9"/>
  <c r="Q133" i="9"/>
  <c r="P133" i="9"/>
  <c r="T132" i="9"/>
  <c r="S132" i="9"/>
  <c r="R132" i="9"/>
  <c r="Q132" i="9"/>
  <c r="T131" i="9"/>
  <c r="S131" i="9"/>
  <c r="R131" i="9"/>
  <c r="Q131" i="9"/>
  <c r="P131" i="9"/>
  <c r="B237" i="4"/>
  <c r="B233" i="4"/>
  <c r="B224" i="4"/>
  <c r="B222" i="4"/>
  <c r="B218" i="4"/>
  <c r="B189" i="4" s="1"/>
  <c r="B216" i="4"/>
  <c r="C210" i="4"/>
  <c r="B210" i="4"/>
  <c r="D210" i="4" s="1"/>
  <c r="C207" i="4"/>
  <c r="C208" i="4" s="1"/>
  <c r="B207" i="4"/>
  <c r="B208" i="4" s="1"/>
  <c r="D208" i="4" s="1"/>
  <c r="C204" i="4"/>
  <c r="C198" i="4"/>
  <c r="B198" i="4"/>
  <c r="C197" i="4"/>
  <c r="B197" i="4"/>
  <c r="C195" i="4"/>
  <c r="B195" i="4"/>
  <c r="C194" i="4"/>
  <c r="B194" i="4"/>
  <c r="C193" i="4"/>
  <c r="B193" i="4"/>
  <c r="J188" i="4"/>
  <c r="E188" i="4"/>
  <c r="F187" i="4"/>
  <c r="J186" i="4"/>
  <c r="M186" i="4"/>
  <c r="E183" i="4"/>
  <c r="N181" i="4"/>
  <c r="J181" i="4"/>
  <c r="N180" i="4"/>
  <c r="J180" i="4"/>
  <c r="F171" i="4"/>
  <c r="G171" i="4" s="1"/>
  <c r="H171" i="4" s="1"/>
  <c r="I171" i="4" s="1"/>
  <c r="J171" i="4" s="1"/>
  <c r="K171" i="4" s="1"/>
  <c r="L171" i="4" s="1"/>
  <c r="M171" i="4" s="1"/>
  <c r="N171" i="4" s="1"/>
  <c r="O171" i="4" s="1"/>
  <c r="P171" i="4" s="1"/>
  <c r="Q171" i="4" s="1"/>
  <c r="R171" i="4" s="1"/>
  <c r="S171" i="4" s="1"/>
  <c r="T171" i="4" s="1"/>
  <c r="U171" i="4" s="1"/>
  <c r="V171" i="4" s="1"/>
  <c r="W171" i="4" s="1"/>
  <c r="X171" i="4" s="1"/>
  <c r="Y171" i="4" s="1"/>
  <c r="Z171" i="4" s="1"/>
  <c r="AA171" i="4" s="1"/>
  <c r="AB171" i="4" s="1"/>
  <c r="AC171" i="4" s="1"/>
  <c r="AD171" i="4" s="1"/>
  <c r="AE171" i="4" s="1"/>
  <c r="AF171" i="4" s="1"/>
  <c r="AG171" i="4" s="1"/>
  <c r="AH171" i="4" s="1"/>
  <c r="AI171" i="4" s="1"/>
  <c r="AJ171" i="4" s="1"/>
  <c r="AK171" i="4" s="1"/>
  <c r="AL171" i="4" s="1"/>
  <c r="Q565" i="9"/>
  <c r="P565" i="9"/>
  <c r="G561" i="9"/>
  <c r="H561" i="9" s="1"/>
  <c r="E571" i="9" s="1"/>
  <c r="G554" i="9"/>
  <c r="H554" i="9" s="1"/>
  <c r="G553" i="9"/>
  <c r="H553" i="9" s="1"/>
  <c r="G551" i="9"/>
  <c r="G552" i="9" s="1"/>
  <c r="H552" i="9" s="1"/>
  <c r="E570" i="9" s="1"/>
  <c r="G547" i="9"/>
  <c r="H547" i="9" s="1"/>
  <c r="E576" i="9" s="1"/>
  <c r="G546" i="9"/>
  <c r="H546" i="9" s="1"/>
  <c r="E572" i="9" s="1"/>
  <c r="G545" i="9"/>
  <c r="G540" i="9"/>
  <c r="H540" i="9" s="1"/>
  <c r="E579" i="9" s="1"/>
  <c r="F580" i="9" s="1"/>
  <c r="G539" i="9"/>
  <c r="G538" i="9"/>
  <c r="G537" i="9"/>
  <c r="E531" i="9" s="1"/>
  <c r="G536" i="9"/>
  <c r="G532" i="9"/>
  <c r="F532" i="9"/>
  <c r="E532" i="9"/>
  <c r="J531" i="9"/>
  <c r="I531" i="9"/>
  <c r="G531" i="9"/>
  <c r="G529" i="9"/>
  <c r="F529" i="9"/>
  <c r="T528" i="9"/>
  <c r="S528" i="9"/>
  <c r="R528" i="9"/>
  <c r="Q528" i="9"/>
  <c r="P528" i="9"/>
  <c r="T527" i="9"/>
  <c r="S527" i="9"/>
  <c r="R527" i="9"/>
  <c r="Q527" i="9"/>
  <c r="P527" i="9"/>
  <c r="T526" i="9"/>
  <c r="S526" i="9"/>
  <c r="R526" i="9"/>
  <c r="Q526" i="9"/>
  <c r="P526" i="9"/>
  <c r="T525" i="9"/>
  <c r="S525" i="9"/>
  <c r="R525" i="9"/>
  <c r="Q525" i="9"/>
  <c r="P525" i="9"/>
  <c r="T524" i="9"/>
  <c r="S524" i="9"/>
  <c r="R524" i="9"/>
  <c r="Q524" i="9"/>
  <c r="P524" i="9"/>
  <c r="T523" i="9"/>
  <c r="S523" i="9"/>
  <c r="R523" i="9"/>
  <c r="Q523" i="9"/>
  <c r="P523" i="9"/>
  <c r="F594" i="9"/>
  <c r="G594" i="9"/>
  <c r="Q694" i="9"/>
  <c r="P694" i="9"/>
  <c r="G690" i="9"/>
  <c r="H690" i="9" s="1"/>
  <c r="E700" i="9" s="1"/>
  <c r="G683" i="9"/>
  <c r="H683" i="9" s="1"/>
  <c r="G682" i="9"/>
  <c r="H682" i="9" s="1"/>
  <c r="G680" i="9"/>
  <c r="G681" i="9" s="1"/>
  <c r="H681" i="9" s="1"/>
  <c r="E699" i="9" s="1"/>
  <c r="G676" i="9"/>
  <c r="H676" i="9" s="1"/>
  <c r="E705" i="9" s="1"/>
  <c r="G675" i="9"/>
  <c r="H675" i="9" s="1"/>
  <c r="E701" i="9" s="1"/>
  <c r="G674" i="9"/>
  <c r="G669" i="9"/>
  <c r="H669" i="9" s="1"/>
  <c r="E708" i="9" s="1"/>
  <c r="F709" i="9" s="1"/>
  <c r="G668" i="9"/>
  <c r="G667" i="9"/>
  <c r="G666" i="9"/>
  <c r="E660" i="9" s="1"/>
  <c r="G665" i="9"/>
  <c r="F660" i="9" s="1"/>
  <c r="G661" i="9"/>
  <c r="F661" i="9"/>
  <c r="E661" i="9"/>
  <c r="J660" i="9"/>
  <c r="I660" i="9"/>
  <c r="G660" i="9"/>
  <c r="G658" i="9"/>
  <c r="F658" i="9"/>
  <c r="T657" i="9"/>
  <c r="S657" i="9"/>
  <c r="R657" i="9"/>
  <c r="Q657" i="9"/>
  <c r="P657" i="9"/>
  <c r="T656" i="9"/>
  <c r="S656" i="9"/>
  <c r="R656" i="9"/>
  <c r="Q656" i="9"/>
  <c r="P656" i="9"/>
  <c r="T655" i="9"/>
  <c r="S655" i="9"/>
  <c r="R655" i="9"/>
  <c r="Q655" i="9"/>
  <c r="P655" i="9"/>
  <c r="T654" i="9"/>
  <c r="S654" i="9"/>
  <c r="R654" i="9"/>
  <c r="Q654" i="9"/>
  <c r="P654" i="9"/>
  <c r="T653" i="9"/>
  <c r="S653" i="9"/>
  <c r="R653" i="9"/>
  <c r="Q653" i="9"/>
  <c r="P653" i="9"/>
  <c r="T652" i="9"/>
  <c r="S652" i="9"/>
  <c r="R652" i="9"/>
  <c r="Q652" i="9"/>
  <c r="P652" i="9"/>
  <c r="P660" i="9" s="1"/>
  <c r="Q630" i="9"/>
  <c r="P630" i="9"/>
  <c r="G626" i="9"/>
  <c r="H626" i="9" s="1"/>
  <c r="E636" i="9" s="1"/>
  <c r="G619" i="9"/>
  <c r="H619" i="9" s="1"/>
  <c r="G618" i="9"/>
  <c r="H618" i="9" s="1"/>
  <c r="G616" i="9"/>
  <c r="G617" i="9" s="1"/>
  <c r="H617" i="9" s="1"/>
  <c r="E635" i="9" s="1"/>
  <c r="G612" i="9"/>
  <c r="H612" i="9" s="1"/>
  <c r="E641" i="9" s="1"/>
  <c r="G611" i="9"/>
  <c r="H611" i="9" s="1"/>
  <c r="E637" i="9" s="1"/>
  <c r="G610" i="9"/>
  <c r="G605" i="9"/>
  <c r="H605" i="9" s="1"/>
  <c r="E644" i="9" s="1"/>
  <c r="F645" i="9" s="1"/>
  <c r="G604" i="9"/>
  <c r="G603" i="9"/>
  <c r="G602" i="9"/>
  <c r="G601" i="9"/>
  <c r="F596" i="9" s="1"/>
  <c r="G597" i="9"/>
  <c r="F597" i="9"/>
  <c r="E597" i="9"/>
  <c r="J596" i="9"/>
  <c r="I596" i="9"/>
  <c r="G596" i="9"/>
  <c r="T593" i="9"/>
  <c r="S593" i="9"/>
  <c r="R593" i="9"/>
  <c r="Q593" i="9"/>
  <c r="P593" i="9"/>
  <c r="T592" i="9"/>
  <c r="S592" i="9"/>
  <c r="R592" i="9"/>
  <c r="Q592" i="9"/>
  <c r="P592" i="9"/>
  <c r="T591" i="9"/>
  <c r="S591" i="9"/>
  <c r="R591" i="9"/>
  <c r="Q591" i="9"/>
  <c r="P591" i="9"/>
  <c r="T590" i="9"/>
  <c r="S590" i="9"/>
  <c r="R590" i="9"/>
  <c r="Q590" i="9"/>
  <c r="P590" i="9"/>
  <c r="T589" i="9"/>
  <c r="S589" i="9"/>
  <c r="R589" i="9"/>
  <c r="Q589" i="9"/>
  <c r="P589" i="9"/>
  <c r="T588" i="9"/>
  <c r="S588" i="9"/>
  <c r="R588" i="9"/>
  <c r="Q588" i="9"/>
  <c r="P588" i="9"/>
  <c r="Q759" i="9"/>
  <c r="P759" i="9"/>
  <c r="G755" i="9"/>
  <c r="H755" i="9" s="1"/>
  <c r="E765" i="9" s="1"/>
  <c r="G748" i="9"/>
  <c r="H748" i="9" s="1"/>
  <c r="G747" i="9"/>
  <c r="H747" i="9" s="1"/>
  <c r="G745" i="9"/>
  <c r="G746" i="9" s="1"/>
  <c r="H746" i="9" s="1"/>
  <c r="E764" i="9" s="1"/>
  <c r="G741" i="9"/>
  <c r="H741" i="9" s="1"/>
  <c r="E770" i="9" s="1"/>
  <c r="G740" i="9"/>
  <c r="H740" i="9" s="1"/>
  <c r="E766" i="9" s="1"/>
  <c r="G739" i="9"/>
  <c r="G734" i="9"/>
  <c r="H734" i="9" s="1"/>
  <c r="E773" i="9" s="1"/>
  <c r="F774" i="9" s="1"/>
  <c r="G733" i="9"/>
  <c r="G732" i="9"/>
  <c r="G731" i="9"/>
  <c r="E725" i="9" s="1"/>
  <c r="G730" i="9"/>
  <c r="G726" i="9"/>
  <c r="F726" i="9"/>
  <c r="E726" i="9"/>
  <c r="J725" i="9"/>
  <c r="I725" i="9"/>
  <c r="G725" i="9"/>
  <c r="G723" i="9"/>
  <c r="F723" i="9"/>
  <c r="T722" i="9"/>
  <c r="S722" i="9"/>
  <c r="R722" i="9"/>
  <c r="Q722" i="9"/>
  <c r="P722" i="9"/>
  <c r="T721" i="9"/>
  <c r="S721" i="9"/>
  <c r="R721" i="9"/>
  <c r="Q721" i="9"/>
  <c r="P721" i="9"/>
  <c r="T720" i="9"/>
  <c r="S720" i="9"/>
  <c r="R720" i="9"/>
  <c r="Q720" i="9"/>
  <c r="P720" i="9"/>
  <c r="T719" i="9"/>
  <c r="S719" i="9"/>
  <c r="R719" i="9"/>
  <c r="Q719" i="9"/>
  <c r="P719" i="9"/>
  <c r="T718" i="9"/>
  <c r="S718" i="9"/>
  <c r="R718" i="9"/>
  <c r="Q718" i="9"/>
  <c r="P718" i="9"/>
  <c r="T717" i="9"/>
  <c r="S717" i="9"/>
  <c r="R717" i="9"/>
  <c r="Q717" i="9"/>
  <c r="P717" i="9"/>
  <c r="P725" i="9" s="1"/>
  <c r="Q823" i="9"/>
  <c r="P823" i="9"/>
  <c r="G819" i="9"/>
  <c r="H819" i="9" s="1"/>
  <c r="E829" i="9" s="1"/>
  <c r="G812" i="9"/>
  <c r="H812" i="9" s="1"/>
  <c r="G811" i="9"/>
  <c r="H811" i="9" s="1"/>
  <c r="G809" i="9"/>
  <c r="G810" i="9" s="1"/>
  <c r="H810" i="9" s="1"/>
  <c r="E828" i="9" s="1"/>
  <c r="G805" i="9"/>
  <c r="H805" i="9" s="1"/>
  <c r="E834" i="9" s="1"/>
  <c r="G804" i="9"/>
  <c r="H804" i="9" s="1"/>
  <c r="E830" i="9" s="1"/>
  <c r="G803" i="9"/>
  <c r="G798" i="9"/>
  <c r="H798" i="9" s="1"/>
  <c r="E837" i="9" s="1"/>
  <c r="F838" i="9" s="1"/>
  <c r="G797" i="9"/>
  <c r="G796" i="9"/>
  <c r="G795" i="9"/>
  <c r="E789" i="9" s="1"/>
  <c r="G794" i="9"/>
  <c r="F789" i="9" s="1"/>
  <c r="G790" i="9"/>
  <c r="F790" i="9"/>
  <c r="E790" i="9"/>
  <c r="J789" i="9"/>
  <c r="I789" i="9"/>
  <c r="G789" i="9"/>
  <c r="G787" i="9"/>
  <c r="F787" i="9"/>
  <c r="T786" i="9"/>
  <c r="S786" i="9"/>
  <c r="R786" i="9"/>
  <c r="Q786" i="9"/>
  <c r="P786" i="9"/>
  <c r="T785" i="9"/>
  <c r="S785" i="9"/>
  <c r="R785" i="9"/>
  <c r="Q785" i="9"/>
  <c r="P785" i="9"/>
  <c r="T784" i="9"/>
  <c r="S784" i="9"/>
  <c r="R784" i="9"/>
  <c r="Q784" i="9"/>
  <c r="P784" i="9"/>
  <c r="T783" i="9"/>
  <c r="S783" i="9"/>
  <c r="R783" i="9"/>
  <c r="Q783" i="9"/>
  <c r="P783" i="9"/>
  <c r="T782" i="9"/>
  <c r="S782" i="9"/>
  <c r="R782" i="9"/>
  <c r="Q782" i="9"/>
  <c r="P782" i="9"/>
  <c r="T781" i="9"/>
  <c r="S781" i="9"/>
  <c r="R781" i="9"/>
  <c r="Q781" i="9"/>
  <c r="P781" i="9"/>
  <c r="D850" i="9"/>
  <c r="D849" i="9"/>
  <c r="D847" i="9"/>
  <c r="D846" i="9"/>
  <c r="Q887" i="9"/>
  <c r="P887" i="9"/>
  <c r="G883" i="9"/>
  <c r="H883" i="9" s="1"/>
  <c r="E893" i="9" s="1"/>
  <c r="G876" i="9"/>
  <c r="H876" i="9" s="1"/>
  <c r="G875" i="9"/>
  <c r="H875" i="9" s="1"/>
  <c r="G873" i="9"/>
  <c r="G874" i="9" s="1"/>
  <c r="H874" i="9" s="1"/>
  <c r="E892" i="9" s="1"/>
  <c r="G869" i="9"/>
  <c r="H869" i="9" s="1"/>
  <c r="E898" i="9" s="1"/>
  <c r="G868" i="9"/>
  <c r="H868" i="9" s="1"/>
  <c r="E894" i="9" s="1"/>
  <c r="G867" i="9"/>
  <c r="G862" i="9"/>
  <c r="I862" i="9" s="1"/>
  <c r="G861" i="9"/>
  <c r="G860" i="9"/>
  <c r="G859" i="9"/>
  <c r="E853" i="9" s="1"/>
  <c r="G858" i="9"/>
  <c r="F853" i="9" s="1"/>
  <c r="G854" i="9"/>
  <c r="F854" i="9"/>
  <c r="E854" i="9"/>
  <c r="J853" i="9"/>
  <c r="I853" i="9"/>
  <c r="G853" i="9"/>
  <c r="G851" i="9"/>
  <c r="F851" i="9"/>
  <c r="T850" i="9"/>
  <c r="S850" i="9"/>
  <c r="R850" i="9"/>
  <c r="Q850" i="9"/>
  <c r="P850" i="9"/>
  <c r="T849" i="9"/>
  <c r="S849" i="9"/>
  <c r="R849" i="9"/>
  <c r="Q849" i="9"/>
  <c r="P849" i="9"/>
  <c r="T848" i="9"/>
  <c r="S848" i="9"/>
  <c r="R848" i="9"/>
  <c r="Q848" i="9"/>
  <c r="P848" i="9"/>
  <c r="T847" i="9"/>
  <c r="S847" i="9"/>
  <c r="R847" i="9"/>
  <c r="Q847" i="9"/>
  <c r="P847" i="9"/>
  <c r="T846" i="9"/>
  <c r="S846" i="9"/>
  <c r="R846" i="9"/>
  <c r="Q846" i="9"/>
  <c r="P846" i="9"/>
  <c r="T845" i="9"/>
  <c r="S845" i="9"/>
  <c r="R845" i="9"/>
  <c r="Q845" i="9"/>
  <c r="P845" i="9"/>
  <c r="C295" i="4"/>
  <c r="E352" i="4"/>
  <c r="E437" i="4"/>
  <c r="G562" i="9" l="1"/>
  <c r="G627" i="9"/>
  <c r="H627" i="9" s="1"/>
  <c r="E632" i="9" s="1"/>
  <c r="N687" i="4"/>
  <c r="G756" i="9"/>
  <c r="H756" i="9" s="1"/>
  <c r="E761" i="9" s="1"/>
  <c r="B704" i="4"/>
  <c r="D193" i="4"/>
  <c r="B206" i="4"/>
  <c r="F182" i="4" s="1"/>
  <c r="D782" i="4"/>
  <c r="N604" i="4"/>
  <c r="D633" i="4"/>
  <c r="N605" i="4" s="1"/>
  <c r="B628" i="4"/>
  <c r="F604" i="4" s="1"/>
  <c r="B711" i="4"/>
  <c r="D711" i="4" s="1"/>
  <c r="Q531" i="9"/>
  <c r="R531" i="9"/>
  <c r="I571" i="9"/>
  <c r="K571" i="9" s="1"/>
  <c r="I699" i="9"/>
  <c r="K699" i="9" s="1"/>
  <c r="I572" i="9"/>
  <c r="K572" i="9" s="1"/>
  <c r="G820" i="9"/>
  <c r="H820" i="9" s="1"/>
  <c r="E825" i="9" s="1"/>
  <c r="Q140" i="9"/>
  <c r="B792" i="4"/>
  <c r="F770" i="4" s="1"/>
  <c r="D699" i="4"/>
  <c r="B708" i="4"/>
  <c r="F686" i="4" s="1"/>
  <c r="D800" i="4"/>
  <c r="N772" i="4" s="1"/>
  <c r="D783" i="4"/>
  <c r="B814" i="4"/>
  <c r="C777" i="4" s="1"/>
  <c r="B788" i="4"/>
  <c r="N773" i="4" s="1"/>
  <c r="C788" i="4"/>
  <c r="C790" i="4"/>
  <c r="C792" i="4"/>
  <c r="B795" i="4"/>
  <c r="D795" i="4" s="1"/>
  <c r="N771" i="4"/>
  <c r="C795" i="4"/>
  <c r="C794" i="4"/>
  <c r="B794" i="4"/>
  <c r="N775" i="4" s="1"/>
  <c r="B785" i="4"/>
  <c r="C828" i="4"/>
  <c r="F772" i="4"/>
  <c r="B820" i="4"/>
  <c r="B823" i="4" s="1"/>
  <c r="D784" i="4" s="1"/>
  <c r="B790" i="4"/>
  <c r="B789" i="4"/>
  <c r="C789" i="4"/>
  <c r="J694" i="4"/>
  <c r="C688" i="4" s="1"/>
  <c r="B730" i="4"/>
  <c r="C693" i="4" s="1"/>
  <c r="C704" i="4"/>
  <c r="C706" i="4"/>
  <c r="C708" i="4"/>
  <c r="D716" i="4"/>
  <c r="N688" i="4" s="1"/>
  <c r="D698" i="4"/>
  <c r="C711" i="4"/>
  <c r="C710" i="4"/>
  <c r="B710" i="4"/>
  <c r="N691" i="4" s="1"/>
  <c r="B701" i="4"/>
  <c r="C744" i="4"/>
  <c r="F688" i="4"/>
  <c r="N689" i="4"/>
  <c r="B736" i="4"/>
  <c r="B739" i="4" s="1"/>
  <c r="D700" i="4" s="1"/>
  <c r="F687" i="4"/>
  <c r="B706" i="4"/>
  <c r="B705" i="4"/>
  <c r="C705" i="4"/>
  <c r="C187" i="4"/>
  <c r="B201" i="4"/>
  <c r="F188" i="4" s="1"/>
  <c r="F189" i="4" s="1"/>
  <c r="C184" i="4" s="1"/>
  <c r="C205" i="4"/>
  <c r="D211" i="4"/>
  <c r="N183" i="4" s="1"/>
  <c r="C609" i="4"/>
  <c r="J611" i="4"/>
  <c r="C605" i="4" s="1"/>
  <c r="C206" i="4"/>
  <c r="B621" i="4"/>
  <c r="N606" i="4" s="1"/>
  <c r="B239" i="4"/>
  <c r="C239" i="4" s="1"/>
  <c r="C621" i="4"/>
  <c r="B623" i="4"/>
  <c r="C623" i="4"/>
  <c r="C628" i="4"/>
  <c r="D632" i="4"/>
  <c r="B625" i="4"/>
  <c r="F603" i="4" s="1"/>
  <c r="C625" i="4"/>
  <c r="B622" i="4"/>
  <c r="C622" i="4"/>
  <c r="B657" i="4"/>
  <c r="B656" i="4"/>
  <c r="D618" i="4" s="1"/>
  <c r="B661" i="4"/>
  <c r="G610" i="4"/>
  <c r="G611" i="4" s="1"/>
  <c r="D606" i="4" s="1"/>
  <c r="D615" i="4"/>
  <c r="D616" i="4"/>
  <c r="B627" i="4"/>
  <c r="N608" i="4" s="1"/>
  <c r="C627" i="4"/>
  <c r="J604" i="4"/>
  <c r="J605" i="4" s="1"/>
  <c r="C604" i="4" s="1"/>
  <c r="B234" i="4"/>
  <c r="D195" i="4" s="1"/>
  <c r="J189" i="4"/>
  <c r="C183" i="4" s="1"/>
  <c r="D206" i="4"/>
  <c r="D194" i="4"/>
  <c r="C203" i="4"/>
  <c r="B196" i="4"/>
  <c r="B235" i="4" s="1"/>
  <c r="C196" i="4"/>
  <c r="B199" i="4"/>
  <c r="N184" i="4" s="1"/>
  <c r="C199" i="4"/>
  <c r="N182" i="4"/>
  <c r="C200" i="4"/>
  <c r="B203" i="4"/>
  <c r="F181" i="4" s="1"/>
  <c r="B205" i="4"/>
  <c r="N186" i="4" s="1"/>
  <c r="I180" i="9"/>
  <c r="K180" i="9" s="1"/>
  <c r="R140" i="9"/>
  <c r="P139" i="9"/>
  <c r="G164" i="9"/>
  <c r="H164" i="9" s="1"/>
  <c r="E183" i="9" s="1"/>
  <c r="F185" i="9" s="1"/>
  <c r="P140" i="9"/>
  <c r="G152" i="9"/>
  <c r="H152" i="9" s="1"/>
  <c r="E174" i="9" s="1"/>
  <c r="I178" i="9"/>
  <c r="K178" i="9" s="1"/>
  <c r="R139" i="9"/>
  <c r="G150" i="9"/>
  <c r="G166" i="9" s="1"/>
  <c r="G167" i="9" s="1"/>
  <c r="H170" i="9"/>
  <c r="E175" i="9" s="1"/>
  <c r="F181" i="9"/>
  <c r="Q139" i="9"/>
  <c r="I179" i="9"/>
  <c r="K179" i="9" s="1"/>
  <c r="I635" i="9"/>
  <c r="G151" i="9"/>
  <c r="G691" i="9"/>
  <c r="H691" i="9" s="1"/>
  <c r="E696" i="9" s="1"/>
  <c r="I637" i="9"/>
  <c r="K637" i="9" s="1"/>
  <c r="G149" i="9"/>
  <c r="H149" i="9" s="1"/>
  <c r="C201" i="4"/>
  <c r="B225" i="4"/>
  <c r="B200" i="4"/>
  <c r="Q532" i="9"/>
  <c r="G541" i="9"/>
  <c r="H541" i="9" s="1"/>
  <c r="P532" i="9"/>
  <c r="P531" i="9"/>
  <c r="G543" i="9"/>
  <c r="G544" i="9"/>
  <c r="I570" i="9"/>
  <c r="K570" i="9" s="1"/>
  <c r="H544" i="9"/>
  <c r="E566" i="9" s="1"/>
  <c r="F544" i="9"/>
  <c r="G542" i="9"/>
  <c r="G558" i="9" s="1"/>
  <c r="G559" i="9" s="1"/>
  <c r="H562" i="9"/>
  <c r="E567" i="9" s="1"/>
  <c r="F573" i="9"/>
  <c r="G556" i="9"/>
  <c r="H556" i="9" s="1"/>
  <c r="E575" i="9" s="1"/>
  <c r="F577" i="9" s="1"/>
  <c r="R532" i="9"/>
  <c r="P596" i="9"/>
  <c r="F531" i="9"/>
  <c r="I766" i="9"/>
  <c r="K766" i="9" s="1"/>
  <c r="E596" i="9"/>
  <c r="G608" i="9"/>
  <c r="I701" i="9"/>
  <c r="K701" i="9" s="1"/>
  <c r="I636" i="9"/>
  <c r="K636" i="9" s="1"/>
  <c r="G609" i="9"/>
  <c r="F609" i="9" s="1"/>
  <c r="Q596" i="9"/>
  <c r="H609" i="9"/>
  <c r="E631" i="9" s="1"/>
  <c r="P597" i="9"/>
  <c r="Q597" i="9"/>
  <c r="G621" i="9"/>
  <c r="H621" i="9" s="1"/>
  <c r="E640" i="9" s="1"/>
  <c r="F642" i="9" s="1"/>
  <c r="G606" i="9"/>
  <c r="H606" i="9" s="1"/>
  <c r="R597" i="9"/>
  <c r="G607" i="9"/>
  <c r="G623" i="9" s="1"/>
  <c r="G624" i="9" s="1"/>
  <c r="H625" i="9" s="1"/>
  <c r="E630" i="9" s="1"/>
  <c r="Q661" i="9"/>
  <c r="R660" i="9"/>
  <c r="P661" i="9"/>
  <c r="G672" i="9"/>
  <c r="G673" i="9"/>
  <c r="H673" i="9" s="1"/>
  <c r="E695" i="9" s="1"/>
  <c r="F638" i="9"/>
  <c r="F673" i="9"/>
  <c r="F702" i="9"/>
  <c r="R661" i="9"/>
  <c r="I700" i="9"/>
  <c r="K700" i="9" s="1"/>
  <c r="K635" i="9"/>
  <c r="G685" i="9"/>
  <c r="H685" i="9" s="1"/>
  <c r="E704" i="9" s="1"/>
  <c r="F706" i="9" s="1"/>
  <c r="G670" i="9"/>
  <c r="H670" i="9" s="1"/>
  <c r="Q660" i="9"/>
  <c r="R596" i="9"/>
  <c r="Q725" i="9"/>
  <c r="I765" i="9"/>
  <c r="K765" i="9" s="1"/>
  <c r="Q726" i="9"/>
  <c r="R726" i="9"/>
  <c r="P726" i="9"/>
  <c r="G750" i="9"/>
  <c r="H750" i="9" s="1"/>
  <c r="E769" i="9" s="1"/>
  <c r="F771" i="9" s="1"/>
  <c r="G738" i="9"/>
  <c r="H738" i="9" s="1"/>
  <c r="E760" i="9" s="1"/>
  <c r="I764" i="9"/>
  <c r="K764" i="9" s="1"/>
  <c r="F767" i="9"/>
  <c r="G735" i="9"/>
  <c r="H735" i="9" s="1"/>
  <c r="F725" i="9"/>
  <c r="G737" i="9"/>
  <c r="R725" i="9"/>
  <c r="I830" i="9"/>
  <c r="K830" i="9" s="1"/>
  <c r="Q789" i="9"/>
  <c r="R789" i="9"/>
  <c r="Q790" i="9"/>
  <c r="P790" i="9"/>
  <c r="G814" i="9"/>
  <c r="H814" i="9" s="1"/>
  <c r="E833" i="9" s="1"/>
  <c r="F835" i="9" s="1"/>
  <c r="P789" i="9"/>
  <c r="G802" i="9"/>
  <c r="H802" i="9" s="1"/>
  <c r="E824" i="9" s="1"/>
  <c r="I894" i="9"/>
  <c r="K894" i="9" s="1"/>
  <c r="R790" i="9"/>
  <c r="I828" i="9"/>
  <c r="K828" i="9" s="1"/>
  <c r="F831" i="9"/>
  <c r="I829" i="9"/>
  <c r="K829" i="9" s="1"/>
  <c r="G799" i="9"/>
  <c r="H799" i="9" s="1"/>
  <c r="G801" i="9"/>
  <c r="G884" i="9"/>
  <c r="H884" i="9" s="1"/>
  <c r="E889" i="9" s="1"/>
  <c r="G863" i="9"/>
  <c r="I863" i="9" s="1"/>
  <c r="P854" i="9"/>
  <c r="Q854" i="9"/>
  <c r="P853" i="9"/>
  <c r="R854" i="9"/>
  <c r="Q853" i="9"/>
  <c r="G878" i="9"/>
  <c r="H878" i="9" s="1"/>
  <c r="E897" i="9" s="1"/>
  <c r="F899" i="9" s="1"/>
  <c r="G866" i="9"/>
  <c r="H866" i="9" s="1"/>
  <c r="E888" i="9" s="1"/>
  <c r="F895" i="9"/>
  <c r="G865" i="9"/>
  <c r="R853" i="9"/>
  <c r="I892" i="9"/>
  <c r="K892" i="9" s="1"/>
  <c r="I893" i="9"/>
  <c r="K893" i="9" s="1"/>
  <c r="H862" i="9"/>
  <c r="E901" i="9" s="1"/>
  <c r="F902" i="9" s="1"/>
  <c r="C292" i="4"/>
  <c r="G736" i="9" l="1"/>
  <c r="G752" i="9" s="1"/>
  <c r="G753" i="9" s="1"/>
  <c r="F152" i="9"/>
  <c r="J771" i="4"/>
  <c r="J772" i="4" s="1"/>
  <c r="C771" i="4" s="1"/>
  <c r="J687" i="4"/>
  <c r="J688" i="4" s="1"/>
  <c r="C687" i="4" s="1"/>
  <c r="D201" i="4"/>
  <c r="G800" i="9"/>
  <c r="G816" i="9" s="1"/>
  <c r="G817" i="9" s="1"/>
  <c r="G818" i="9" s="1"/>
  <c r="G188" i="4"/>
  <c r="G189" i="4" s="1"/>
  <c r="D184" i="4" s="1"/>
  <c r="F610" i="4"/>
  <c r="F611" i="4" s="1"/>
  <c r="C606" i="4" s="1"/>
  <c r="D622" i="4"/>
  <c r="N607" i="4"/>
  <c r="N609" i="4" s="1"/>
  <c r="F771" i="4"/>
  <c r="N774" i="4"/>
  <c r="N776" i="4" s="1"/>
  <c r="C770" i="4" s="1"/>
  <c r="D789" i="4"/>
  <c r="D790" i="4"/>
  <c r="F777" i="4"/>
  <c r="F778" i="4" s="1"/>
  <c r="C773" i="4" s="1"/>
  <c r="D788" i="4"/>
  <c r="C824" i="4"/>
  <c r="C778" i="4" s="1"/>
  <c r="B824" i="4"/>
  <c r="D785" i="4"/>
  <c r="G777" i="4"/>
  <c r="G778" i="4" s="1"/>
  <c r="D773" i="4" s="1"/>
  <c r="D792" i="4"/>
  <c r="D706" i="4"/>
  <c r="F693" i="4"/>
  <c r="F694" i="4" s="1"/>
  <c r="C689" i="4" s="1"/>
  <c r="G693" i="4"/>
  <c r="G694" i="4" s="1"/>
  <c r="D689" i="4" s="1"/>
  <c r="N690" i="4"/>
  <c r="N692" i="4" s="1"/>
  <c r="C686" i="4" s="1"/>
  <c r="D705" i="4"/>
  <c r="D704" i="4"/>
  <c r="C740" i="4"/>
  <c r="C694" i="4" s="1"/>
  <c r="B740" i="4"/>
  <c r="D701" i="4"/>
  <c r="D708" i="4"/>
  <c r="D621" i="4"/>
  <c r="F183" i="4"/>
  <c r="D628" i="4"/>
  <c r="C603" i="4"/>
  <c r="D625" i="4"/>
  <c r="D617" i="4"/>
  <c r="C661" i="4"/>
  <c r="F605" i="4"/>
  <c r="B658" i="4"/>
  <c r="C656" i="4"/>
  <c r="B662" i="4"/>
  <c r="C657" i="4"/>
  <c r="C611" i="4" s="1"/>
  <c r="C235" i="4"/>
  <c r="C189" i="4" s="1"/>
  <c r="D196" i="4"/>
  <c r="D203" i="4"/>
  <c r="G625" i="9"/>
  <c r="G671" i="9"/>
  <c r="G687" i="9" s="1"/>
  <c r="G688" i="9" s="1"/>
  <c r="H168" i="9"/>
  <c r="E173" i="9" s="1"/>
  <c r="F176" i="9" s="1"/>
  <c r="F190" i="9" s="1"/>
  <c r="F191" i="9" s="1"/>
  <c r="G168" i="9"/>
  <c r="J182" i="4"/>
  <c r="J183" i="4" s="1"/>
  <c r="C182" i="4" s="1"/>
  <c r="C188" i="4"/>
  <c r="D200" i="4"/>
  <c r="N185" i="4"/>
  <c r="N187" i="4" s="1"/>
  <c r="B240" i="4"/>
  <c r="B241" i="4" s="1"/>
  <c r="C241" i="4" s="1"/>
  <c r="B236" i="4"/>
  <c r="C234" i="4"/>
  <c r="D199" i="4"/>
  <c r="F633" i="9"/>
  <c r="F647" i="9" s="1"/>
  <c r="F648" i="9" s="1"/>
  <c r="G560" i="9"/>
  <c r="H560" i="9"/>
  <c r="E565" i="9" s="1"/>
  <c r="F568" i="9" s="1"/>
  <c r="F582" i="9" s="1"/>
  <c r="F583" i="9" s="1"/>
  <c r="H689" i="9"/>
  <c r="E694" i="9" s="1"/>
  <c r="F697" i="9" s="1"/>
  <c r="F711" i="9" s="1"/>
  <c r="F712" i="9" s="1"/>
  <c r="G689" i="9"/>
  <c r="F738" i="9"/>
  <c r="F802" i="9"/>
  <c r="H754" i="9"/>
  <c r="E759" i="9" s="1"/>
  <c r="F762" i="9" s="1"/>
  <c r="F776" i="9" s="1"/>
  <c r="F777" i="9" s="1"/>
  <c r="G754" i="9"/>
  <c r="G864" i="9"/>
  <c r="G880" i="9" s="1"/>
  <c r="G881" i="9" s="1"/>
  <c r="H882" i="9" s="1"/>
  <c r="E887" i="9" s="1"/>
  <c r="F890" i="9" s="1"/>
  <c r="F904" i="9" s="1"/>
  <c r="F905" i="9" s="1"/>
  <c r="F866" i="9"/>
  <c r="H863" i="9"/>
  <c r="B314" i="4"/>
  <c r="B313" i="4"/>
  <c r="B324" i="4" s="1"/>
  <c r="F268" i="4" s="1"/>
  <c r="B322" i="4"/>
  <c r="B318" i="4"/>
  <c r="B309" i="4"/>
  <c r="B307" i="4"/>
  <c r="B303" i="4"/>
  <c r="B274" i="4" s="1"/>
  <c r="B301" i="4"/>
  <c r="C272" i="4" s="1"/>
  <c r="B295" i="4"/>
  <c r="C293" i="4"/>
  <c r="B292" i="4"/>
  <c r="B293" i="4" s="1"/>
  <c r="D293" i="4" s="1"/>
  <c r="C289" i="4"/>
  <c r="C283" i="4"/>
  <c r="B283" i="4"/>
  <c r="C282" i="4"/>
  <c r="B282" i="4"/>
  <c r="C280" i="4"/>
  <c r="C281" i="4" s="1"/>
  <c r="B280" i="4"/>
  <c r="C279" i="4"/>
  <c r="B279" i="4"/>
  <c r="C278" i="4"/>
  <c r="B278" i="4"/>
  <c r="F256" i="4"/>
  <c r="G256" i="4" s="1"/>
  <c r="H256" i="4" s="1"/>
  <c r="I256" i="4" s="1"/>
  <c r="J256" i="4" s="1"/>
  <c r="K256" i="4" s="1"/>
  <c r="L256" i="4" s="1"/>
  <c r="M256" i="4" s="1"/>
  <c r="N256" i="4" s="1"/>
  <c r="O256" i="4" s="1"/>
  <c r="P256" i="4" s="1"/>
  <c r="Q256" i="4" s="1"/>
  <c r="R256" i="4" s="1"/>
  <c r="S256" i="4" s="1"/>
  <c r="T256" i="4" s="1"/>
  <c r="U256" i="4" s="1"/>
  <c r="V256" i="4" s="1"/>
  <c r="W256" i="4" s="1"/>
  <c r="X256" i="4" s="1"/>
  <c r="Y256" i="4" s="1"/>
  <c r="Z256" i="4" s="1"/>
  <c r="AA256" i="4" s="1"/>
  <c r="AB256" i="4" s="1"/>
  <c r="AC256" i="4" s="1"/>
  <c r="AD256" i="4" s="1"/>
  <c r="AE256" i="4" s="1"/>
  <c r="AF256" i="4" s="1"/>
  <c r="AG256" i="4" s="1"/>
  <c r="AH256" i="4" s="1"/>
  <c r="AI256" i="4" s="1"/>
  <c r="AJ256" i="4" s="1"/>
  <c r="AK256" i="4" s="1"/>
  <c r="AL256" i="4" s="1"/>
  <c r="F265" i="9"/>
  <c r="Q301" i="9"/>
  <c r="P301" i="9"/>
  <c r="G290" i="9"/>
  <c r="H290" i="9" s="1"/>
  <c r="G287" i="9"/>
  <c r="G288" i="9" s="1"/>
  <c r="H288" i="9" s="1"/>
  <c r="E306" i="9" s="1"/>
  <c r="G281" i="9"/>
  <c r="G276" i="9"/>
  <c r="H276" i="9" s="1"/>
  <c r="E315" i="9" s="1"/>
  <c r="F316" i="9" s="1"/>
  <c r="G275" i="9"/>
  <c r="G274" i="9"/>
  <c r="G273" i="9"/>
  <c r="E267" i="9" s="1"/>
  <c r="G272" i="9"/>
  <c r="F267" i="9" s="1"/>
  <c r="G268" i="9"/>
  <c r="E268" i="9"/>
  <c r="J267" i="9"/>
  <c r="I267" i="9"/>
  <c r="G267" i="9"/>
  <c r="G265" i="9"/>
  <c r="Q264" i="9"/>
  <c r="T263" i="9"/>
  <c r="S263" i="9"/>
  <c r="R263" i="9"/>
  <c r="Q263" i="9"/>
  <c r="P263" i="9"/>
  <c r="T262" i="9"/>
  <c r="S262" i="9"/>
  <c r="R262" i="9"/>
  <c r="Q262" i="9"/>
  <c r="P262" i="9"/>
  <c r="T261" i="9"/>
  <c r="S261" i="9"/>
  <c r="R261" i="9"/>
  <c r="Q261" i="9"/>
  <c r="P261" i="9"/>
  <c r="T260" i="9"/>
  <c r="S260" i="9"/>
  <c r="R260" i="9"/>
  <c r="Q260" i="9"/>
  <c r="P260" i="9"/>
  <c r="T259" i="9"/>
  <c r="S259" i="9"/>
  <c r="R259" i="9"/>
  <c r="Q259" i="9"/>
  <c r="P259" i="9"/>
  <c r="Q365" i="9"/>
  <c r="P365" i="9"/>
  <c r="G361" i="9"/>
  <c r="H361" i="9" s="1"/>
  <c r="E371" i="9" s="1"/>
  <c r="G354" i="9"/>
  <c r="H354" i="9" s="1"/>
  <c r="G353" i="9"/>
  <c r="H353" i="9" s="1"/>
  <c r="G351" i="9"/>
  <c r="G352" i="9" s="1"/>
  <c r="H352" i="9" s="1"/>
  <c r="E370" i="9" s="1"/>
  <c r="G347" i="9"/>
  <c r="H347" i="9" s="1"/>
  <c r="E376" i="9" s="1"/>
  <c r="G346" i="9"/>
  <c r="H346" i="9" s="1"/>
  <c r="E372" i="9" s="1"/>
  <c r="G345" i="9"/>
  <c r="G340" i="9"/>
  <c r="G339" i="9"/>
  <c r="G338" i="9"/>
  <c r="G337" i="9"/>
  <c r="E331" i="9" s="1"/>
  <c r="G336" i="9"/>
  <c r="G332" i="9"/>
  <c r="F332" i="9"/>
  <c r="E332" i="9"/>
  <c r="J331" i="9"/>
  <c r="I331" i="9"/>
  <c r="G331" i="9"/>
  <c r="G329" i="9"/>
  <c r="F329" i="9"/>
  <c r="T328" i="9"/>
  <c r="S328" i="9"/>
  <c r="R328" i="9"/>
  <c r="Q328" i="9"/>
  <c r="P328" i="9"/>
  <c r="T327" i="9"/>
  <c r="S327" i="9"/>
  <c r="R327" i="9"/>
  <c r="Q327" i="9"/>
  <c r="P327" i="9"/>
  <c r="T326" i="9"/>
  <c r="S326" i="9"/>
  <c r="R326" i="9"/>
  <c r="Q326" i="9"/>
  <c r="P326" i="9"/>
  <c r="T325" i="9"/>
  <c r="S325" i="9"/>
  <c r="R325" i="9"/>
  <c r="Q325" i="9"/>
  <c r="P325" i="9"/>
  <c r="T324" i="9"/>
  <c r="S324" i="9"/>
  <c r="R324" i="9"/>
  <c r="Q324" i="9"/>
  <c r="P324" i="9"/>
  <c r="T323" i="9"/>
  <c r="S323" i="9"/>
  <c r="R323" i="9"/>
  <c r="Q323" i="9"/>
  <c r="P323" i="9"/>
  <c r="C451" i="4"/>
  <c r="C452" i="4"/>
  <c r="C367" i="4"/>
  <c r="C366" i="4"/>
  <c r="B397" i="4"/>
  <c r="B408" i="4" s="1"/>
  <c r="F352" i="4" s="1"/>
  <c r="B406" i="4"/>
  <c r="B402" i="4"/>
  <c r="B393" i="4"/>
  <c r="B391" i="4"/>
  <c r="B387" i="4"/>
  <c r="B358" i="4" s="1"/>
  <c r="B385" i="4"/>
  <c r="C379" i="4"/>
  <c r="B379" i="4"/>
  <c r="D379" i="4" s="1"/>
  <c r="B376" i="4"/>
  <c r="B377" i="4" s="1"/>
  <c r="D377" i="4" s="1"/>
  <c r="C373" i="4"/>
  <c r="B373" i="4"/>
  <c r="B367" i="4"/>
  <c r="B366" i="4"/>
  <c r="C364" i="4"/>
  <c r="C365" i="4" s="1"/>
  <c r="B364" i="4"/>
  <c r="C363" i="4"/>
  <c r="B363" i="4"/>
  <c r="C362" i="4"/>
  <c r="B362" i="4"/>
  <c r="J357" i="4"/>
  <c r="E357" i="4"/>
  <c r="J356" i="4"/>
  <c r="F356" i="4"/>
  <c r="J355" i="4"/>
  <c r="M354" i="4"/>
  <c r="N350" i="4"/>
  <c r="J350" i="4"/>
  <c r="N349" i="4"/>
  <c r="J349" i="4"/>
  <c r="C376" i="4"/>
  <c r="C377" i="4" s="1"/>
  <c r="F340" i="4"/>
  <c r="G340" i="4" s="1"/>
  <c r="H340" i="4" s="1"/>
  <c r="I340" i="4" s="1"/>
  <c r="J340" i="4" s="1"/>
  <c r="K340" i="4" s="1"/>
  <c r="L340" i="4" s="1"/>
  <c r="M340" i="4" s="1"/>
  <c r="N340" i="4" s="1"/>
  <c r="O340" i="4" s="1"/>
  <c r="P340" i="4" s="1"/>
  <c r="Q340" i="4" s="1"/>
  <c r="R340" i="4" s="1"/>
  <c r="S340" i="4" s="1"/>
  <c r="T340" i="4" s="1"/>
  <c r="U340" i="4" s="1"/>
  <c r="V340" i="4" s="1"/>
  <c r="W340" i="4" s="1"/>
  <c r="X340" i="4" s="1"/>
  <c r="Y340" i="4" s="1"/>
  <c r="Z340" i="4" s="1"/>
  <c r="AA340" i="4" s="1"/>
  <c r="AB340" i="4" s="1"/>
  <c r="AC340" i="4" s="1"/>
  <c r="AD340" i="4" s="1"/>
  <c r="AE340" i="4" s="1"/>
  <c r="AF340" i="4" s="1"/>
  <c r="AG340" i="4" s="1"/>
  <c r="AH340" i="4" s="1"/>
  <c r="AI340" i="4" s="1"/>
  <c r="AJ340" i="4" s="1"/>
  <c r="AK340" i="4" s="1"/>
  <c r="AL340" i="4" s="1"/>
  <c r="B491" i="4"/>
  <c r="B487" i="4"/>
  <c r="B482" i="4"/>
  <c r="B485" i="4" s="1"/>
  <c r="B478" i="4"/>
  <c r="B476" i="4"/>
  <c r="B472" i="4"/>
  <c r="B443" i="4" s="1"/>
  <c r="B470" i="4"/>
  <c r="C464" i="4"/>
  <c r="B464" i="4"/>
  <c r="B479" i="4" s="1"/>
  <c r="B461" i="4"/>
  <c r="B462" i="4" s="1"/>
  <c r="D462" i="4" s="1"/>
  <c r="C458" i="4"/>
  <c r="B458" i="4"/>
  <c r="B452" i="4"/>
  <c r="B451" i="4"/>
  <c r="C449" i="4"/>
  <c r="C450" i="4" s="1"/>
  <c r="B449" i="4"/>
  <c r="C448" i="4"/>
  <c r="B448" i="4"/>
  <c r="C447" i="4"/>
  <c r="B447" i="4"/>
  <c r="J442" i="4"/>
  <c r="E442" i="4"/>
  <c r="J441" i="4"/>
  <c r="F441" i="4"/>
  <c r="J440" i="4"/>
  <c r="M439" i="4"/>
  <c r="N435" i="4"/>
  <c r="J435" i="4"/>
  <c r="N434" i="4"/>
  <c r="J434" i="4"/>
  <c r="AN431" i="4"/>
  <c r="AM431" i="4"/>
  <c r="AN430" i="4"/>
  <c r="AM430" i="4"/>
  <c r="AN429" i="4"/>
  <c r="AM429" i="4"/>
  <c r="AN428" i="4"/>
  <c r="AM428" i="4"/>
  <c r="AN427" i="4"/>
  <c r="AM427" i="4"/>
  <c r="F425" i="4"/>
  <c r="G425" i="4" s="1"/>
  <c r="H425" i="4" s="1"/>
  <c r="I425" i="4" s="1"/>
  <c r="J425" i="4" s="1"/>
  <c r="K425" i="4" s="1"/>
  <c r="L425" i="4" s="1"/>
  <c r="M425" i="4" s="1"/>
  <c r="N425" i="4" s="1"/>
  <c r="O425" i="4" s="1"/>
  <c r="P425" i="4" s="1"/>
  <c r="Q425" i="4" s="1"/>
  <c r="R425" i="4" s="1"/>
  <c r="S425" i="4" s="1"/>
  <c r="T425" i="4" s="1"/>
  <c r="U425" i="4" s="1"/>
  <c r="V425" i="4" s="1"/>
  <c r="W425" i="4" s="1"/>
  <c r="X425" i="4" s="1"/>
  <c r="Y425" i="4" s="1"/>
  <c r="Z425" i="4" s="1"/>
  <c r="AA425" i="4" s="1"/>
  <c r="AB425" i="4" s="1"/>
  <c r="AC425" i="4" s="1"/>
  <c r="AD425" i="4" s="1"/>
  <c r="AE425" i="4" s="1"/>
  <c r="AF425" i="4" s="1"/>
  <c r="AG425" i="4" s="1"/>
  <c r="AH425" i="4" s="1"/>
  <c r="AI425" i="4" s="1"/>
  <c r="AJ425" i="4" s="1"/>
  <c r="AK425" i="4" s="1"/>
  <c r="AL425" i="4" s="1"/>
  <c r="E522" i="4"/>
  <c r="B567" i="4"/>
  <c r="H818" i="9" l="1"/>
  <c r="E823" i="9" s="1"/>
  <c r="F826" i="9" s="1"/>
  <c r="F840" i="9" s="1"/>
  <c r="F841" i="9" s="1"/>
  <c r="N267" i="4"/>
  <c r="D296" i="4"/>
  <c r="N268" i="4" s="1"/>
  <c r="C461" i="4"/>
  <c r="C462" i="4" s="1"/>
  <c r="D295" i="4"/>
  <c r="B829" i="4"/>
  <c r="B825" i="4"/>
  <c r="C823" i="4"/>
  <c r="B745" i="4"/>
  <c r="B741" i="4"/>
  <c r="C739" i="4"/>
  <c r="C181" i="4"/>
  <c r="B284" i="4"/>
  <c r="N269" i="4" s="1"/>
  <c r="B375" i="4"/>
  <c r="F351" i="4" s="1"/>
  <c r="G662" i="4"/>
  <c r="C662" i="4"/>
  <c r="C658" i="4"/>
  <c r="F602" i="4"/>
  <c r="F606" i="4" s="1"/>
  <c r="C602" i="4" s="1"/>
  <c r="C660" i="4"/>
  <c r="B610" i="4" s="1"/>
  <c r="B663" i="4"/>
  <c r="C663" i="4" s="1"/>
  <c r="G882" i="9"/>
  <c r="G240" i="4"/>
  <c r="C240" i="4"/>
  <c r="C238" i="4"/>
  <c r="B188" i="4" s="1"/>
  <c r="C236" i="4"/>
  <c r="F180" i="4"/>
  <c r="F184" i="4" s="1"/>
  <c r="C180" i="4" s="1"/>
  <c r="I308" i="9"/>
  <c r="K308" i="9" s="1"/>
  <c r="C284" i="4"/>
  <c r="B285" i="4"/>
  <c r="N270" i="4" s="1"/>
  <c r="C285" i="4"/>
  <c r="C291" i="4"/>
  <c r="C372" i="4"/>
  <c r="C441" i="4"/>
  <c r="B286" i="4"/>
  <c r="F273" i="4" s="1"/>
  <c r="F274" i="4" s="1"/>
  <c r="C269" i="4" s="1"/>
  <c r="C286" i="4"/>
  <c r="B288" i="4"/>
  <c r="F266" i="4" s="1"/>
  <c r="B310" i="4"/>
  <c r="B290" i="4"/>
  <c r="N271" i="4" s="1"/>
  <c r="D363" i="4"/>
  <c r="C288" i="4"/>
  <c r="N436" i="4"/>
  <c r="D279" i="4"/>
  <c r="J443" i="4"/>
  <c r="C437" i="4" s="1"/>
  <c r="B368" i="4"/>
  <c r="N352" i="4" s="1"/>
  <c r="C324" i="4"/>
  <c r="D278" i="4"/>
  <c r="B316" i="4"/>
  <c r="B319" i="4" s="1"/>
  <c r="D280" i="4" s="1"/>
  <c r="B281" i="4"/>
  <c r="B291" i="4"/>
  <c r="F267" i="4" s="1"/>
  <c r="D448" i="4"/>
  <c r="N351" i="4"/>
  <c r="B394" i="4"/>
  <c r="C357" i="4" s="1"/>
  <c r="B460" i="4"/>
  <c r="C375" i="4"/>
  <c r="C290" i="4"/>
  <c r="C356" i="4"/>
  <c r="B453" i="4"/>
  <c r="F268" i="9"/>
  <c r="G298" i="9" s="1"/>
  <c r="H298" i="9" s="1"/>
  <c r="E303" i="9" s="1"/>
  <c r="G289" i="9"/>
  <c r="H289" i="9" s="1"/>
  <c r="G282" i="9"/>
  <c r="H282" i="9" s="1"/>
  <c r="E308" i="9" s="1"/>
  <c r="G283" i="9"/>
  <c r="H283" i="9" s="1"/>
  <c r="E312" i="9" s="1"/>
  <c r="P264" i="9"/>
  <c r="P267" i="9" s="1"/>
  <c r="R264" i="9"/>
  <c r="R267" i="9" s="1"/>
  <c r="S264" i="9"/>
  <c r="G280" i="9" s="1"/>
  <c r="H280" i="9" s="1"/>
  <c r="E302" i="9" s="1"/>
  <c r="G297" i="9"/>
  <c r="H297" i="9" s="1"/>
  <c r="E307" i="9" s="1"/>
  <c r="T264" i="9"/>
  <c r="I306" i="9"/>
  <c r="K306" i="9" s="1"/>
  <c r="Q267" i="9"/>
  <c r="Q268" i="9"/>
  <c r="I307" i="9"/>
  <c r="K307" i="9" s="1"/>
  <c r="G362" i="9"/>
  <c r="G342" i="9" s="1"/>
  <c r="G358" i="9" s="1"/>
  <c r="G359" i="9" s="1"/>
  <c r="I372" i="9"/>
  <c r="K372" i="9" s="1"/>
  <c r="I371" i="9"/>
  <c r="K371" i="9" s="1"/>
  <c r="J358" i="4"/>
  <c r="C352" i="4" s="1"/>
  <c r="P331" i="9"/>
  <c r="Q331" i="9"/>
  <c r="P332" i="9"/>
  <c r="Q332" i="9"/>
  <c r="G341" i="9"/>
  <c r="R331" i="9"/>
  <c r="G344" i="9"/>
  <c r="F344" i="9" s="1"/>
  <c r="I370" i="9"/>
  <c r="K370" i="9" s="1"/>
  <c r="F373" i="9"/>
  <c r="F331" i="9"/>
  <c r="R332" i="9"/>
  <c r="H340" i="9"/>
  <c r="E379" i="9" s="1"/>
  <c r="F380" i="9" s="1"/>
  <c r="G343" i="9"/>
  <c r="G356" i="9"/>
  <c r="H356" i="9" s="1"/>
  <c r="E375" i="9" s="1"/>
  <c r="F377" i="9" s="1"/>
  <c r="C453" i="4"/>
  <c r="C368" i="4"/>
  <c r="B369" i="4"/>
  <c r="B370" i="4"/>
  <c r="D370" i="4" s="1"/>
  <c r="B372" i="4"/>
  <c r="C369" i="4"/>
  <c r="C370" i="4"/>
  <c r="C408" i="4"/>
  <c r="D362" i="4"/>
  <c r="B400" i="4"/>
  <c r="B403" i="4" s="1"/>
  <c r="D364" i="4" s="1"/>
  <c r="B374" i="4"/>
  <c r="N354" i="4" s="1"/>
  <c r="B365" i="4"/>
  <c r="C374" i="4"/>
  <c r="B454" i="4"/>
  <c r="D447" i="4"/>
  <c r="C457" i="4"/>
  <c r="C459" i="4"/>
  <c r="C460" i="4"/>
  <c r="D464" i="4"/>
  <c r="B488" i="4"/>
  <c r="D449" i="4" s="1"/>
  <c r="J436" i="4"/>
  <c r="J437" i="4" s="1"/>
  <c r="C436" i="4" s="1"/>
  <c r="C442" i="4"/>
  <c r="C454" i="4"/>
  <c r="C455" i="4"/>
  <c r="B455" i="4"/>
  <c r="D455" i="4" s="1"/>
  <c r="B457" i="4"/>
  <c r="F435" i="4" s="1"/>
  <c r="B459" i="4"/>
  <c r="N439" i="4" s="1"/>
  <c r="B450" i="4"/>
  <c r="B493" i="4"/>
  <c r="F437" i="4" s="1"/>
  <c r="C273" i="4" l="1"/>
  <c r="J267" i="4"/>
  <c r="J268" i="4" s="1"/>
  <c r="C267" i="4" s="1"/>
  <c r="F357" i="4"/>
  <c r="F358" i="4" s="1"/>
  <c r="C353" i="4" s="1"/>
  <c r="G273" i="4"/>
  <c r="G274" i="4" s="1"/>
  <c r="D269" i="4" s="1"/>
  <c r="N272" i="4"/>
  <c r="C266" i="4" s="1"/>
  <c r="D284" i="4"/>
  <c r="F769" i="4"/>
  <c r="F773" i="4" s="1"/>
  <c r="C769" i="4" s="1"/>
  <c r="B774" i="4" s="1"/>
  <c r="C827" i="4"/>
  <c r="B777" i="4" s="1"/>
  <c r="C825" i="4"/>
  <c r="G829" i="4"/>
  <c r="C829" i="4"/>
  <c r="B830" i="4"/>
  <c r="C830" i="4" s="1"/>
  <c r="F685" i="4"/>
  <c r="F689" i="4" s="1"/>
  <c r="C685" i="4" s="1"/>
  <c r="C743" i="4"/>
  <c r="B693" i="4" s="1"/>
  <c r="C741" i="4"/>
  <c r="G745" i="4"/>
  <c r="C745" i="4"/>
  <c r="B746" i="4"/>
  <c r="C746" i="4" s="1"/>
  <c r="D375" i="4"/>
  <c r="D453" i="4"/>
  <c r="D286" i="4"/>
  <c r="B608" i="4"/>
  <c r="B607" i="4"/>
  <c r="D285" i="4"/>
  <c r="B185" i="4"/>
  <c r="B186" i="4"/>
  <c r="P268" i="9"/>
  <c r="G279" i="9"/>
  <c r="G278" i="9"/>
  <c r="G294" i="9" s="1"/>
  <c r="G295" i="9" s="1"/>
  <c r="H296" i="9" s="1"/>
  <c r="E301" i="9" s="1"/>
  <c r="F304" i="9" s="1"/>
  <c r="G277" i="9"/>
  <c r="H277" i="9" s="1"/>
  <c r="D372" i="4"/>
  <c r="F350" i="4"/>
  <c r="D460" i="4"/>
  <c r="F436" i="4"/>
  <c r="D288" i="4"/>
  <c r="D454" i="4"/>
  <c r="N437" i="4"/>
  <c r="D368" i="4"/>
  <c r="N353" i="4"/>
  <c r="N355" i="4" s="1"/>
  <c r="C350" i="4" s="1"/>
  <c r="D369" i="4"/>
  <c r="N438" i="4"/>
  <c r="D291" i="4"/>
  <c r="C320" i="4"/>
  <c r="C274" i="4" s="1"/>
  <c r="D281" i="4"/>
  <c r="B320" i="4"/>
  <c r="J351" i="4"/>
  <c r="J352" i="4" s="1"/>
  <c r="C351" i="4" s="1"/>
  <c r="R268" i="9"/>
  <c r="F309" i="9"/>
  <c r="G292" i="9"/>
  <c r="H292" i="9" s="1"/>
  <c r="E311" i="9" s="1"/>
  <c r="F313" i="9" s="1"/>
  <c r="F280" i="9"/>
  <c r="H362" i="9"/>
  <c r="E367" i="9" s="1"/>
  <c r="H344" i="9"/>
  <c r="E366" i="9" s="1"/>
  <c r="H341" i="9"/>
  <c r="H360" i="9"/>
  <c r="E365" i="9" s="1"/>
  <c r="G360" i="9"/>
  <c r="G357" i="4"/>
  <c r="G358" i="4" s="1"/>
  <c r="D353" i="4" s="1"/>
  <c r="D365" i="4"/>
  <c r="C404" i="4"/>
  <c r="C358" i="4" s="1"/>
  <c r="B404" i="4"/>
  <c r="G442" i="4"/>
  <c r="G443" i="4" s="1"/>
  <c r="D438" i="4" s="1"/>
  <c r="D450" i="4"/>
  <c r="C489" i="4"/>
  <c r="C443" i="4" s="1"/>
  <c r="B489" i="4"/>
  <c r="D457" i="4"/>
  <c r="F442" i="4"/>
  <c r="F443" i="4" s="1"/>
  <c r="C438" i="4" s="1"/>
  <c r="C493" i="4"/>
  <c r="B775" i="4" l="1"/>
  <c r="B691" i="4"/>
  <c r="B690" i="4"/>
  <c r="N440" i="4"/>
  <c r="C435" i="4" s="1"/>
  <c r="B609" i="4"/>
  <c r="C608" i="4"/>
  <c r="B187" i="4"/>
  <c r="C186" i="4"/>
  <c r="F368" i="9"/>
  <c r="F382" i="9" s="1"/>
  <c r="F383" i="9" s="1"/>
  <c r="C319" i="4"/>
  <c r="B325" i="4"/>
  <c r="B326" i="4" s="1"/>
  <c r="C326" i="4" s="1"/>
  <c r="B321" i="4"/>
  <c r="F265" i="4" s="1"/>
  <c r="F269" i="4" s="1"/>
  <c r="C265" i="4" s="1"/>
  <c r="G296" i="9"/>
  <c r="F318" i="9"/>
  <c r="F319" i="9" s="1"/>
  <c r="B405" i="4"/>
  <c r="F349" i="4" s="1"/>
  <c r="F353" i="4" s="1"/>
  <c r="C349" i="4" s="1"/>
  <c r="B409" i="4"/>
  <c r="C403" i="4"/>
  <c r="B494" i="4"/>
  <c r="B490" i="4"/>
  <c r="F434" i="4" s="1"/>
  <c r="F438" i="4" s="1"/>
  <c r="C488" i="4"/>
  <c r="B270" i="4" l="1"/>
  <c r="B271" i="4"/>
  <c r="C775" i="4"/>
  <c r="B776" i="4"/>
  <c r="C691" i="4"/>
  <c r="B692" i="4"/>
  <c r="C323" i="4"/>
  <c r="B273" i="4" s="1"/>
  <c r="C321" i="4"/>
  <c r="G325" i="4"/>
  <c r="C325" i="4"/>
  <c r="G409" i="4"/>
  <c r="C409" i="4"/>
  <c r="B410" i="4"/>
  <c r="C410" i="4" s="1"/>
  <c r="C405" i="4"/>
  <c r="C407" i="4"/>
  <c r="B357" i="4" s="1"/>
  <c r="C492" i="4"/>
  <c r="B442" i="4" s="1"/>
  <c r="C490" i="4"/>
  <c r="C434" i="4"/>
  <c r="G494" i="4"/>
  <c r="C494" i="4"/>
  <c r="B495" i="4"/>
  <c r="C495" i="4" s="1"/>
  <c r="B272" i="4" l="1"/>
  <c r="C271" i="4"/>
  <c r="B355" i="4"/>
  <c r="B354" i="4"/>
  <c r="B440" i="4"/>
  <c r="B439" i="4"/>
  <c r="C355" i="4" l="1"/>
  <c r="B356" i="4"/>
  <c r="B441" i="4"/>
  <c r="C440" i="4"/>
  <c r="Q429" i="9" l="1"/>
  <c r="P429" i="9"/>
  <c r="G425" i="9"/>
  <c r="H425" i="9" s="1"/>
  <c r="E435" i="9" s="1"/>
  <c r="G418" i="9"/>
  <c r="H418" i="9" s="1"/>
  <c r="G417" i="9"/>
  <c r="H417" i="9" s="1"/>
  <c r="G415" i="9"/>
  <c r="G416" i="9" s="1"/>
  <c r="H416" i="9" s="1"/>
  <c r="E434" i="9" s="1"/>
  <c r="G411" i="9"/>
  <c r="H411" i="9" s="1"/>
  <c r="E440" i="9" s="1"/>
  <c r="G410" i="9"/>
  <c r="H410" i="9" s="1"/>
  <c r="E436" i="9" s="1"/>
  <c r="G409" i="9"/>
  <c r="G404" i="9"/>
  <c r="I404" i="9" s="1"/>
  <c r="G403" i="9"/>
  <c r="G402" i="9"/>
  <c r="G401" i="9"/>
  <c r="G400" i="9"/>
  <c r="F395" i="9" s="1"/>
  <c r="G396" i="9"/>
  <c r="F396" i="9"/>
  <c r="E396" i="9"/>
  <c r="J395" i="9"/>
  <c r="I395" i="9"/>
  <c r="G395" i="9"/>
  <c r="G393" i="9"/>
  <c r="F393" i="9"/>
  <c r="T392" i="9"/>
  <c r="S392" i="9"/>
  <c r="R392" i="9"/>
  <c r="Q392" i="9"/>
  <c r="P392" i="9"/>
  <c r="T391" i="9"/>
  <c r="S391" i="9"/>
  <c r="R391" i="9"/>
  <c r="Q391" i="9"/>
  <c r="P391" i="9"/>
  <c r="T390" i="9"/>
  <c r="S390" i="9"/>
  <c r="R390" i="9"/>
  <c r="Q390" i="9"/>
  <c r="P390" i="9"/>
  <c r="T389" i="9"/>
  <c r="S389" i="9"/>
  <c r="R389" i="9"/>
  <c r="Q389" i="9"/>
  <c r="P389" i="9"/>
  <c r="T388" i="9"/>
  <c r="S388" i="9"/>
  <c r="R388" i="9"/>
  <c r="Q388" i="9"/>
  <c r="P388" i="9"/>
  <c r="T387" i="9"/>
  <c r="S387" i="9"/>
  <c r="R387" i="9"/>
  <c r="Q387" i="9"/>
  <c r="P387" i="9"/>
  <c r="Q396" i="9" l="1"/>
  <c r="I434" i="9"/>
  <c r="K434" i="9" s="1"/>
  <c r="I436" i="9"/>
  <c r="K436" i="9" s="1"/>
  <c r="R396" i="9"/>
  <c r="F437" i="9"/>
  <c r="Q395" i="9"/>
  <c r="G426" i="9"/>
  <c r="H426" i="9" s="1"/>
  <c r="E431" i="9" s="1"/>
  <c r="P395" i="9"/>
  <c r="H404" i="9"/>
  <c r="E443" i="9" s="1"/>
  <c r="F444" i="9" s="1"/>
  <c r="R395" i="9"/>
  <c r="G408" i="9"/>
  <c r="F408" i="9" s="1"/>
  <c r="P396" i="9"/>
  <c r="I435" i="9"/>
  <c r="K435" i="9" s="1"/>
  <c r="G420" i="9"/>
  <c r="H420" i="9" s="1"/>
  <c r="E439" i="9" s="1"/>
  <c r="F441" i="9" s="1"/>
  <c r="E395" i="9"/>
  <c r="G405" i="9"/>
  <c r="G407" i="9"/>
  <c r="G406" i="9" l="1"/>
  <c r="G422" i="9" s="1"/>
  <c r="G423" i="9" s="1"/>
  <c r="H408" i="9"/>
  <c r="E430" i="9" s="1"/>
  <c r="I405" i="9"/>
  <c r="H405" i="9"/>
  <c r="H424" i="9"/>
  <c r="E429" i="9" s="1"/>
  <c r="G424" i="9"/>
  <c r="F432" i="9" l="1"/>
  <c r="F446" i="9" s="1"/>
  <c r="F447" i="9" s="1"/>
  <c r="C543" i="4"/>
  <c r="B543" i="4"/>
  <c r="C549" i="4" l="1"/>
  <c r="J525" i="4"/>
  <c r="G469" i="9" l="1"/>
  <c r="I469" i="9" s="1"/>
  <c r="H10" i="1" l="1"/>
  <c r="L39" i="1"/>
  <c r="K38" i="1"/>
  <c r="K39" i="1" s="1"/>
  <c r="B557" i="4"/>
  <c r="B528" i="4" s="1"/>
  <c r="F526" i="4"/>
  <c r="Q494" i="9"/>
  <c r="P494" i="9"/>
  <c r="G490" i="9"/>
  <c r="G483" i="9"/>
  <c r="H483" i="9" s="1"/>
  <c r="G482" i="9"/>
  <c r="H482" i="9" s="1"/>
  <c r="G480" i="9"/>
  <c r="G481" i="9" s="1"/>
  <c r="H481" i="9" s="1"/>
  <c r="E499" i="9" s="1"/>
  <c r="G476" i="9"/>
  <c r="H476" i="9" s="1"/>
  <c r="E505" i="9" s="1"/>
  <c r="G475" i="9"/>
  <c r="G474" i="9"/>
  <c r="G468" i="9"/>
  <c r="G467" i="9"/>
  <c r="G466" i="9"/>
  <c r="E460" i="9" s="1"/>
  <c r="G465" i="9"/>
  <c r="F460" i="9" s="1"/>
  <c r="G461" i="9"/>
  <c r="F461" i="9"/>
  <c r="E461" i="9"/>
  <c r="J460" i="9"/>
  <c r="I460" i="9"/>
  <c r="G460" i="9"/>
  <c r="G458" i="9"/>
  <c r="F458" i="9"/>
  <c r="T457" i="9"/>
  <c r="S457" i="9"/>
  <c r="R457" i="9"/>
  <c r="Q457" i="9"/>
  <c r="P457" i="9"/>
  <c r="T456" i="9"/>
  <c r="S456" i="9"/>
  <c r="R456" i="9"/>
  <c r="Q456" i="9"/>
  <c r="P456" i="9"/>
  <c r="T455" i="9"/>
  <c r="S455" i="9"/>
  <c r="R455" i="9"/>
  <c r="Q455" i="9"/>
  <c r="P455" i="9"/>
  <c r="T454" i="9"/>
  <c r="S454" i="9"/>
  <c r="R454" i="9"/>
  <c r="Q454" i="9"/>
  <c r="P454" i="9"/>
  <c r="T453" i="9"/>
  <c r="S453" i="9"/>
  <c r="R453" i="9"/>
  <c r="Q453" i="9"/>
  <c r="P453" i="9"/>
  <c r="T452" i="9"/>
  <c r="S452" i="9"/>
  <c r="R452" i="9"/>
  <c r="Q452" i="9"/>
  <c r="P452" i="9"/>
  <c r="D5" i="1" a="1"/>
  <c r="D5" i="1" s="1"/>
  <c r="L9" i="1"/>
  <c r="J9" i="1"/>
  <c r="K11" i="1"/>
  <c r="C5" i="1"/>
  <c r="U33" i="5"/>
  <c r="P33" i="5"/>
  <c r="K33" i="5"/>
  <c r="E33" i="5"/>
  <c r="V29" i="5"/>
  <c r="U29" i="5"/>
  <c r="T29" i="5"/>
  <c r="S29" i="5"/>
  <c r="Q29" i="5"/>
  <c r="P29" i="5"/>
  <c r="O29" i="5"/>
  <c r="N29" i="5"/>
  <c r="L29" i="5"/>
  <c r="K29" i="5"/>
  <c r="J29" i="5"/>
  <c r="I29" i="5"/>
  <c r="G29" i="5"/>
  <c r="F29" i="5"/>
  <c r="E29" i="5"/>
  <c r="D29" i="5"/>
  <c r="C29" i="5"/>
  <c r="V28" i="5"/>
  <c r="U28" i="5"/>
  <c r="T28" i="5"/>
  <c r="S28" i="5"/>
  <c r="Q28" i="5"/>
  <c r="P28" i="5"/>
  <c r="O28" i="5"/>
  <c r="N28" i="5"/>
  <c r="L28" i="5"/>
  <c r="K28" i="5"/>
  <c r="J28" i="5"/>
  <c r="I28" i="5"/>
  <c r="G28" i="5"/>
  <c r="F28" i="5"/>
  <c r="E28" i="5"/>
  <c r="D28" i="5"/>
  <c r="C28" i="5"/>
  <c r="V27" i="5"/>
  <c r="U27" i="5"/>
  <c r="T27" i="5"/>
  <c r="S27" i="5"/>
  <c r="Q27" i="5"/>
  <c r="P27" i="5"/>
  <c r="O27" i="5"/>
  <c r="N27" i="5"/>
  <c r="L27" i="5"/>
  <c r="K27" i="5"/>
  <c r="J27" i="5"/>
  <c r="I27" i="5"/>
  <c r="G27" i="5"/>
  <c r="F27" i="5"/>
  <c r="E27" i="5"/>
  <c r="D27" i="5"/>
  <c r="C27" i="5"/>
  <c r="V26" i="5"/>
  <c r="U26" i="5"/>
  <c r="T26" i="5"/>
  <c r="S26" i="5"/>
  <c r="Q26" i="5"/>
  <c r="P26" i="5"/>
  <c r="O26" i="5"/>
  <c r="N26" i="5"/>
  <c r="L26" i="5"/>
  <c r="K26" i="5"/>
  <c r="J26" i="5"/>
  <c r="I26" i="5"/>
  <c r="G26" i="5"/>
  <c r="F26" i="5"/>
  <c r="E26" i="5"/>
  <c r="D26" i="5"/>
  <c r="C26" i="5"/>
  <c r="V25" i="5"/>
  <c r="U25" i="5"/>
  <c r="T25" i="5"/>
  <c r="S25" i="5"/>
  <c r="Q25" i="5"/>
  <c r="P25" i="5"/>
  <c r="O25" i="5"/>
  <c r="N25" i="5"/>
  <c r="L25" i="5"/>
  <c r="K25" i="5"/>
  <c r="J25" i="5"/>
  <c r="I25" i="5"/>
  <c r="G25" i="5"/>
  <c r="F25" i="5"/>
  <c r="E25" i="5"/>
  <c r="D25" i="5"/>
  <c r="C25" i="5"/>
  <c r="V24" i="5"/>
  <c r="U24" i="5"/>
  <c r="T24" i="5"/>
  <c r="S24" i="5"/>
  <c r="Q24" i="5"/>
  <c r="P24" i="5"/>
  <c r="O24" i="5"/>
  <c r="N24" i="5"/>
  <c r="L24" i="5"/>
  <c r="K24" i="5"/>
  <c r="J24" i="5"/>
  <c r="I24" i="5"/>
  <c r="G24" i="5"/>
  <c r="F24" i="5"/>
  <c r="E24" i="5"/>
  <c r="D24" i="5"/>
  <c r="C24" i="5"/>
  <c r="V23" i="5"/>
  <c r="U23" i="5"/>
  <c r="T23" i="5"/>
  <c r="S23" i="5"/>
  <c r="Q23" i="5"/>
  <c r="P23" i="5"/>
  <c r="O23" i="5"/>
  <c r="N23" i="5"/>
  <c r="L23" i="5"/>
  <c r="K23" i="5"/>
  <c r="J23" i="5"/>
  <c r="I23" i="5"/>
  <c r="G23" i="5"/>
  <c r="F23" i="5"/>
  <c r="E23" i="5"/>
  <c r="D23" i="5"/>
  <c r="C23" i="5"/>
  <c r="V22" i="5"/>
  <c r="U22" i="5"/>
  <c r="T22" i="5"/>
  <c r="S22" i="5"/>
  <c r="Q22" i="5"/>
  <c r="P22" i="5"/>
  <c r="O22" i="5"/>
  <c r="N22" i="5"/>
  <c r="L22" i="5"/>
  <c r="K22" i="5"/>
  <c r="J22" i="5"/>
  <c r="I22" i="5"/>
  <c r="G22" i="5"/>
  <c r="F22" i="5"/>
  <c r="E22" i="5"/>
  <c r="D22" i="5"/>
  <c r="C22" i="5"/>
  <c r="AE16" i="5"/>
  <c r="Z16" i="5"/>
  <c r="P16" i="5"/>
  <c r="K16" i="5"/>
  <c r="E16" i="5"/>
  <c r="T14" i="5"/>
  <c r="U16" i="5" s="1"/>
  <c r="AA12" i="5"/>
  <c r="Z12" i="5"/>
  <c r="Y12" i="5"/>
  <c r="X12" i="5"/>
  <c r="N12" i="5"/>
  <c r="I12" i="5"/>
  <c r="E12" i="5"/>
  <c r="D12" i="5"/>
  <c r="C12" i="5"/>
  <c r="AA11" i="5"/>
  <c r="Z11" i="5"/>
  <c r="Y11" i="5"/>
  <c r="X11" i="5"/>
  <c r="N11" i="5"/>
  <c r="I11" i="5"/>
  <c r="G11" i="5"/>
  <c r="F11" i="5"/>
  <c r="E11" i="5"/>
  <c r="D11" i="5"/>
  <c r="C11" i="5"/>
  <c r="AA10" i="5"/>
  <c r="Z10" i="5"/>
  <c r="Y10" i="5"/>
  <c r="X10" i="5"/>
  <c r="N10" i="5"/>
  <c r="I10" i="5"/>
  <c r="G10" i="5"/>
  <c r="F10" i="5"/>
  <c r="E10" i="5"/>
  <c r="D10" i="5"/>
  <c r="C10" i="5"/>
  <c r="AA9" i="5"/>
  <c r="Z9" i="5"/>
  <c r="Y9" i="5"/>
  <c r="X9" i="5"/>
  <c r="N9" i="5"/>
  <c r="I9" i="5"/>
  <c r="G9" i="5"/>
  <c r="F9" i="5"/>
  <c r="E9" i="5"/>
  <c r="D9" i="5"/>
  <c r="C9" i="5"/>
  <c r="AA8" i="5"/>
  <c r="Z8" i="5"/>
  <c r="Y8" i="5"/>
  <c r="X8" i="5"/>
  <c r="N8" i="5"/>
  <c r="I8" i="5"/>
  <c r="G8" i="5"/>
  <c r="F8" i="5"/>
  <c r="E8" i="5"/>
  <c r="D8" i="5"/>
  <c r="C8" i="5"/>
  <c r="AA7" i="5"/>
  <c r="Z7" i="5"/>
  <c r="Y7" i="5"/>
  <c r="X7" i="5"/>
  <c r="N7" i="5"/>
  <c r="I7" i="5"/>
  <c r="G7" i="5"/>
  <c r="F7" i="5"/>
  <c r="E7" i="5"/>
  <c r="D7" i="5"/>
  <c r="C7" i="5"/>
  <c r="AA6" i="5"/>
  <c r="Z6" i="5"/>
  <c r="Y6" i="5"/>
  <c r="X6" i="5"/>
  <c r="N6" i="5"/>
  <c r="I6" i="5"/>
  <c r="AA5" i="5"/>
  <c r="Z5" i="5"/>
  <c r="Y5" i="5"/>
  <c r="X5" i="5"/>
  <c r="N5" i="5"/>
  <c r="I5" i="5"/>
  <c r="AM515" i="4"/>
  <c r="B576" i="4"/>
  <c r="B572" i="4"/>
  <c r="B563" i="4"/>
  <c r="B561" i="4"/>
  <c r="B555" i="4"/>
  <c r="J527" i="4"/>
  <c r="E527" i="4"/>
  <c r="J526" i="4"/>
  <c r="J528" i="4" s="1"/>
  <c r="C522" i="4" s="1"/>
  <c r="M524" i="4"/>
  <c r="N520" i="4"/>
  <c r="J520" i="4"/>
  <c r="N519" i="4"/>
  <c r="J519" i="4"/>
  <c r="AM516" i="4"/>
  <c r="AM514" i="4"/>
  <c r="AM513" i="4"/>
  <c r="AM512" i="4"/>
  <c r="AH510" i="4"/>
  <c r="AI510" i="4" s="1"/>
  <c r="AJ510" i="4" s="1"/>
  <c r="AK510" i="4" s="1"/>
  <c r="AL510" i="4" s="1"/>
  <c r="AF510" i="4"/>
  <c r="Y510" i="4"/>
  <c r="W510" i="4"/>
  <c r="P510" i="4"/>
  <c r="N510" i="4"/>
  <c r="G510" i="4"/>
  <c r="E510" i="4"/>
  <c r="R10" i="1"/>
  <c r="I11" i="1"/>
  <c r="G491" i="9" l="1"/>
  <c r="H491" i="9" s="1"/>
  <c r="E496" i="9" s="1"/>
  <c r="C526" i="4"/>
  <c r="G473" i="9"/>
  <c r="H473" i="9" s="1"/>
  <c r="E495" i="9" s="1"/>
  <c r="G470" i="9"/>
  <c r="I470" i="9" s="1"/>
  <c r="H490" i="9"/>
  <c r="E500" i="9" s="1"/>
  <c r="H475" i="9"/>
  <c r="E501" i="9" s="1"/>
  <c r="G472" i="9"/>
  <c r="H469" i="9"/>
  <c r="C537" i="4"/>
  <c r="C536" i="4"/>
  <c r="B549" i="4"/>
  <c r="B564" i="4" s="1"/>
  <c r="G12" i="5"/>
  <c r="F12" i="5"/>
  <c r="G6" i="5"/>
  <c r="F6" i="5"/>
  <c r="E6" i="5"/>
  <c r="D6" i="5"/>
  <c r="C6" i="5"/>
  <c r="G5" i="5"/>
  <c r="F5" i="5"/>
  <c r="E5" i="5"/>
  <c r="D5" i="5"/>
  <c r="C5" i="5"/>
  <c r="J10" i="1"/>
  <c r="L10" i="1"/>
  <c r="AD12" i="5"/>
  <c r="AC12" i="5"/>
  <c r="AF11" i="5"/>
  <c r="AE11" i="5"/>
  <c r="AD11" i="5"/>
  <c r="AC11" i="5"/>
  <c r="AF10" i="5"/>
  <c r="AE10" i="5"/>
  <c r="AD10" i="5"/>
  <c r="AC10" i="5"/>
  <c r="AF9" i="5"/>
  <c r="AE9" i="5"/>
  <c r="AD9" i="5"/>
  <c r="AC9" i="5"/>
  <c r="AF8" i="5"/>
  <c r="AE8" i="5"/>
  <c r="AD8" i="5"/>
  <c r="AC8" i="5"/>
  <c r="AF7" i="5"/>
  <c r="AE7" i="5"/>
  <c r="AD7" i="5"/>
  <c r="AC7" i="5"/>
  <c r="AF6" i="5"/>
  <c r="AE6" i="5"/>
  <c r="AD6" i="5"/>
  <c r="AC6" i="5"/>
  <c r="AF5" i="5"/>
  <c r="AE5" i="5"/>
  <c r="AD5" i="5"/>
  <c r="AC5" i="5"/>
  <c r="AF12" i="5"/>
  <c r="AE12" i="5"/>
  <c r="B536" i="4"/>
  <c r="B537" i="4"/>
  <c r="B533" i="4"/>
  <c r="B534" i="4"/>
  <c r="C534" i="4"/>
  <c r="C533" i="4"/>
  <c r="C539" i="4" s="1"/>
  <c r="B578" i="4"/>
  <c r="F522" i="4" s="1"/>
  <c r="C532" i="4"/>
  <c r="I501" i="9"/>
  <c r="K501" i="9" s="1"/>
  <c r="I500" i="9"/>
  <c r="K500" i="9" s="1"/>
  <c r="I499" i="9"/>
  <c r="K499" i="9" s="1"/>
  <c r="R461" i="9"/>
  <c r="R460" i="9"/>
  <c r="G485" i="9"/>
  <c r="H485" i="9" s="1"/>
  <c r="E504" i="9" s="1"/>
  <c r="F506" i="9" s="1"/>
  <c r="Q461" i="9"/>
  <c r="Q460" i="9"/>
  <c r="P461" i="9"/>
  <c r="P460" i="9"/>
  <c r="H8" i="1"/>
  <c r="Q8" i="1"/>
  <c r="S8" i="1" s="1"/>
  <c r="U5" i="5"/>
  <c r="S6" i="5"/>
  <c r="V6" i="5"/>
  <c r="V11" i="5"/>
  <c r="U12" i="5"/>
  <c r="S5" i="5"/>
  <c r="T5" i="5"/>
  <c r="V5" i="5"/>
  <c r="T6" i="5"/>
  <c r="U6" i="5"/>
  <c r="S7" i="5"/>
  <c r="T7" i="5"/>
  <c r="U7" i="5"/>
  <c r="V7" i="5"/>
  <c r="S8" i="5"/>
  <c r="T8" i="5"/>
  <c r="U8" i="5"/>
  <c r="V8" i="5"/>
  <c r="S9" i="5"/>
  <c r="T9" i="5"/>
  <c r="U9" i="5"/>
  <c r="V9" i="5"/>
  <c r="S10" i="5"/>
  <c r="T10" i="5"/>
  <c r="U10" i="5"/>
  <c r="V10" i="5"/>
  <c r="S11" i="5"/>
  <c r="T11" i="5"/>
  <c r="U11" i="5"/>
  <c r="S12" i="5"/>
  <c r="T12" i="5"/>
  <c r="V12" i="5"/>
  <c r="B570" i="4"/>
  <c r="B573" i="4" s="1"/>
  <c r="B546" i="4"/>
  <c r="B547" i="4" s="1"/>
  <c r="D547" i="4" s="1"/>
  <c r="C546" i="4"/>
  <c r="C547" i="4" s="1"/>
  <c r="B532" i="4"/>
  <c r="G471" i="9" l="1"/>
  <c r="G487" i="9" s="1"/>
  <c r="G488" i="9" s="1"/>
  <c r="H489" i="9" s="1"/>
  <c r="E494" i="9" s="1"/>
  <c r="F497" i="9" s="1"/>
  <c r="F473" i="9"/>
  <c r="C544" i="4"/>
  <c r="C535" i="4"/>
  <c r="B544" i="4"/>
  <c r="N524" i="4" s="1"/>
  <c r="B535" i="4"/>
  <c r="B574" i="4" s="1"/>
  <c r="B540" i="4"/>
  <c r="G527" i="4" s="1"/>
  <c r="G528" i="4" s="1"/>
  <c r="D523" i="4" s="1"/>
  <c r="C540" i="4"/>
  <c r="B539" i="4"/>
  <c r="N523" i="4" s="1"/>
  <c r="E508" i="9"/>
  <c r="F509" i="9" s="1"/>
  <c r="H470" i="9"/>
  <c r="F502" i="9"/>
  <c r="C545" i="4"/>
  <c r="B545" i="4"/>
  <c r="F521" i="4" s="1"/>
  <c r="J8" i="1"/>
  <c r="L8" i="1"/>
  <c r="D534" i="4"/>
  <c r="C578" i="4"/>
  <c r="D533" i="4"/>
  <c r="B538" i="4"/>
  <c r="D532" i="4"/>
  <c r="D549" i="4"/>
  <c r="N521" i="4"/>
  <c r="C538" i="4"/>
  <c r="C542" i="4"/>
  <c r="B542" i="4"/>
  <c r="F520" i="4" s="1"/>
  <c r="G489" i="9" l="1"/>
  <c r="C574" i="4"/>
  <c r="C528" i="4" s="1"/>
  <c r="D542" i="4"/>
  <c r="D539" i="4"/>
  <c r="F527" i="4"/>
  <c r="F528" i="4" s="1"/>
  <c r="C523" i="4" s="1"/>
  <c r="D535" i="4"/>
  <c r="F511" i="9"/>
  <c r="F512" i="9" s="1"/>
  <c r="H7" i="1" s="1"/>
  <c r="C527" i="4"/>
  <c r="J521" i="4"/>
  <c r="C573" i="4"/>
  <c r="B575" i="4"/>
  <c r="F519" i="4" s="1"/>
  <c r="B579" i="4"/>
  <c r="B580" i="4" s="1"/>
  <c r="D545" i="4"/>
  <c r="N522" i="4"/>
  <c r="D538" i="4"/>
  <c r="F523" i="4" l="1"/>
  <c r="C519" i="4" s="1"/>
  <c r="N525" i="4"/>
  <c r="C520" i="4" s="1"/>
  <c r="C575" i="4"/>
  <c r="C577" i="4"/>
  <c r="B527" i="4" s="1"/>
  <c r="C580" i="4"/>
  <c r="C579" i="4"/>
  <c r="G579" i="4"/>
  <c r="J522" i="4"/>
  <c r="C521" i="4" s="1"/>
  <c r="B525" i="4" l="1"/>
  <c r="H6" i="1" s="1"/>
  <c r="B524" i="4"/>
  <c r="J7" i="1"/>
  <c r="Q7" i="1"/>
  <c r="S7" i="1" s="1"/>
  <c r="L7" i="1"/>
  <c r="C525" i="4" l="1"/>
  <c r="B526" i="4"/>
  <c r="L6" i="1"/>
  <c r="L11" i="1" s="1"/>
  <c r="Q6" i="1"/>
  <c r="S6" i="1" s="1"/>
  <c r="S10" i="1" s="1"/>
  <c r="J6" i="1"/>
  <c r="J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tc={A0A0B6AF-DC13-4496-A593-EF0E275E9C17}</author>
    <author>tc={9346C1C6-811E-451C-A929-1F09B3C71DC0}</author>
    <author>tc={7C303B9B-A487-4C7E-B4E6-10AA69EBF168}</author>
    <author>tc={37EE3F43-79D2-4351-8E60-4392818845A8}</author>
    <author>tc={7CC96F3C-BA6C-4834-90CA-62E1EDC3B7D6}</author>
    <author>tc={E06D4C32-C2C4-4C8E-8CF4-9C929FE75C45}</author>
    <author>tc={2EBDACE2-8451-4074-99BC-2581B10EC9EB}</author>
    <author>tc={62C4D66F-F3DF-4E3A-BD08-B651325F99CD}</author>
    <author>tc={65EF0368-53A6-45F1-B80F-9F3DC34533B0}</author>
    <author>tc={FEF2ACD5-3278-4925-857B-2357406DA31E}</author>
    <author>tc={2CCDCC93-4BC5-4265-A517-854F493669E7}</author>
  </authors>
  <commentList>
    <comment ref="E18" authorId="0" shapeId="0" xr:uid="{A0A0B6AF-DC13-4496-A593-EF0E275E9C1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Liquidez Reciente Ponderada </t>
      </text>
    </comment>
    <comment ref="E82" authorId="1" shapeId="0" xr:uid="{9346C1C6-811E-451C-A929-1F09B3C71DC0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Liquidez Reciente Ponderada </t>
      </text>
    </comment>
    <comment ref="E146" authorId="2" shapeId="0" xr:uid="{7C303B9B-A487-4C7E-B4E6-10AA69EBF168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Liquidez Reciente Ponderada </t>
      </text>
    </comment>
    <comment ref="E210" authorId="3" shapeId="0" xr:uid="{37EE3F43-79D2-4351-8E60-4392818845A8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Liquidez Reciente Ponderada </t>
      </text>
    </comment>
    <comment ref="E274" authorId="4" shapeId="0" xr:uid="{7CC96F3C-BA6C-4834-90CA-62E1EDC3B7D6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Liquidez Reciente Ponderada </t>
      </text>
    </comment>
    <comment ref="E338" authorId="5" shapeId="0" xr:uid="{E06D4C32-C2C4-4C8E-8CF4-9C929FE75C45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Liquidez Reciente Ponderada </t>
      </text>
    </comment>
    <comment ref="E538" authorId="6" shapeId="0" xr:uid="{2EBDACE2-8451-4074-99BC-2581B10EC9EB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Liquidez Reciente Ponderada </t>
      </text>
    </comment>
    <comment ref="E603" authorId="7" shapeId="0" xr:uid="{62C4D66F-F3DF-4E3A-BD08-B651325F99CD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Liquidez Reciente Ponderada </t>
      </text>
    </comment>
    <comment ref="E667" authorId="8" shapeId="0" xr:uid="{65EF0368-53A6-45F1-B80F-9F3DC34533B0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Liquidez Reciente Ponderada </t>
      </text>
    </comment>
    <comment ref="E732" authorId="9" shapeId="0" xr:uid="{FEF2ACD5-3278-4925-857B-2357406DA31E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Liquidez Reciente Ponderada </t>
      </text>
    </comment>
    <comment ref="E796" authorId="10" shapeId="0" xr:uid="{2CCDCC93-4BC5-4265-A517-854F493669E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Liquidez Reciente Ponderada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tc={F89806EA-BF23-40BB-A8DB-10603928FFFD}</author>
    <author>tc={595C473A-9986-45FC-B382-FDEC7C0528C6}</author>
    <author>tc={C900CE89-C546-412B-B3E6-FA4D205C49C5}</author>
    <author>tc={78C0C1AB-2119-445A-85FC-FD1CB7E5F393}</author>
    <author>tc={19AACC22-7F5F-424D-8B7A-381F12DF64D6}</author>
    <author>tc={5AC8D7A9-3465-4942-9184-04BEEE3FE878}</author>
    <author>tc={BBDD3EC2-E9A0-4E10-995D-F4E3FB7FE2C6}</author>
    <author>tc={A713D4F0-F5AC-4A1D-81E3-609A5074FCA8}</author>
    <author>tc={D1C5D1F7-35BC-4AEB-B807-0EAFF63B4608}</author>
    <author>tc={5F56FAE1-C25D-4E81-87B2-1B81BAE1D03D}</author>
    <author>tc={87AD77FC-0E96-4C46-8632-9A3CA4FDF0B8}</author>
    <author>tc={EDCF5DBE-4B60-4EFB-99DB-D4BA3F7727E8}</author>
    <author>tc={26F5027D-6CBB-41F2-82F0-C416AD115513}</author>
    <author>tc={8CE72500-6D4D-41CD-85D7-426C12CED51C}</author>
    <author>tc={C5031A88-61BF-4FE0-800F-603545EFCAC1}</author>
    <author>tc={4883F70A-D746-4798-88E0-CE77CCD71554}</author>
    <author>tc={E2408D36-F462-472E-8267-B06BD6B0FD1B}</author>
    <author>tc={4CE1C101-1DFD-45F0-90A1-A442CA62172B}</author>
    <author>tc={30FBE36A-AED5-43E3-B7DD-3B80F5093F6C}</author>
    <author>tc={3C2F3568-4188-4048-AF50-6CF9DF2BA2B8}</author>
    <author>tc={0C211416-AA1B-420E-8D4D-0F43CA0F07C8}</author>
    <author>tc={609F12C5-6DE3-4C3E-A848-7C4AE39D28E7}</author>
    <author>tc={0B2792C7-06EE-442A-8BB1-67BEA3269F93}</author>
    <author>tc={6714FD70-4629-46FD-83D3-76DA5C5CA1DC}</author>
    <author>tc={671557C1-3E89-48D2-BF40-EC7FA1901640}</author>
    <author>tc={4B961F56-3B7A-432E-86A6-343520F25C93}</author>
    <author>tc={45B692C3-0FD1-4367-A044-9035CC72B8AE}</author>
    <author>tc={A65140D4-5B90-43F7-9F6E-1687EF300C34}</author>
    <author>tc={32F2B153-1479-4719-A7B8-2B0F8C121918}</author>
    <author>tc={6BF5A339-0DB4-43C3-8F7E-6DBDF42B613C}</author>
    <author>tc={2BD663F4-700A-4E54-BD11-474930C7569C}</author>
    <author>tc={19B18066-C3E1-4080-92CF-1F12BACE6615}</author>
    <author>tc={ACFC9013-C1AA-49AD-A65F-B5DF53F8961F}</author>
    <author>tc={C74B2DFB-0842-4A15-86FB-8C1AC0CC5725}</author>
    <author>tc={C18D3657-7438-475A-9EFF-598920F41822}</author>
    <author>tc={9A072A8E-E1D3-4011-BBB0-60C1E4149921}</author>
    <author>tc={58B87A3D-3C73-42B1-A359-0D321C4892C4}</author>
    <author>tc={E1DDA609-486F-44D8-A95E-2A36693F9259}</author>
    <author>tc={47743C05-8EBC-431F-9B60-ACDFF00DF39A}</author>
    <author>tc={AE836BDB-2814-4975-8343-D13CC6D493FD}</author>
    <author>tc={ECCC5A4E-8B62-4135-BEBA-64E7F093D3C7}</author>
    <author>tc={DF02946D-777A-4323-BBA9-316C456C05F2}</author>
    <author>tc={1D989027-ACD7-4F2E-A34F-6F3BE3AE3F96}</author>
    <author>tc={3E4840D3-DA11-4D48-856F-4D540D5897C0}</author>
    <author>tc={39583F6C-4020-4C74-8574-1EF0FCD7B5F5}</author>
    <author>tc={1F02465C-C54D-40EB-BC0C-2C96A8799C62}</author>
    <author>tc={E6AE36B3-E876-4713-8939-B7691E6A8E94}</author>
    <author>tc={5FB3B516-3565-4968-8FF0-0F2EA177BEA0}</author>
    <author>tc={37A5C1E7-91D1-4432-885D-C96F76FC5697}</author>
    <author>tc={F26B124E-A7CE-4A77-A75B-9B3F35077644}</author>
    <author>tc={61293818-2577-47C6-8034-79F99746C380}</author>
    <author>tc={16975C2C-72DB-4858-95B3-A7776B422BF6}</author>
    <author>tc={BCBA314B-0EE4-48CE-B705-A121065D6163}</author>
    <author>tc={D7B9F17D-21A3-4E63-8532-76F993E9FE38}</author>
    <author>tc={6AFF31E1-8C7C-4707-953F-41DF37005D10}</author>
    <author>tc={1F8F249A-E5ED-4E9B-A3BD-D01E1000ADDE}</author>
    <author>tc={A1FB3B8A-69AE-43D5-8857-A363631B0079}</author>
    <author>tc={A42FFB28-6BC7-4BCB-B0D8-82158ACC662B}</author>
    <author>tc={7C9DB66A-4C20-4E5C-B355-6E31797315A4}</author>
    <author>tc={C6A3C058-1AFA-45D3-A358-173D9CC150CE}</author>
    <author>tc={D46C4674-C376-4615-AB79-F0900E1B3335}</author>
    <author>tc={BDED953B-13E5-4C82-B7F0-ADE9D650FEA7}</author>
    <author>tc={2664C2C7-4188-4CFE-9B7A-04F63F6E3909}</author>
    <author>tc={BFC6FA1C-25F9-4EAE-9716-01A209B0D609}</author>
    <author>tc={A35C0C16-7F37-481D-B355-ADC6F09E736B}</author>
    <author>tc={BFBA7EDD-924C-49E1-ADF7-BA1A3283BFC5}</author>
    <author>tc={C673BF4B-B045-4971-ADBE-D07BDA9FBBAA}</author>
    <author>tc={E5B5FDDC-971E-47A2-82B8-4D20511E5ED6}</author>
    <author>tc={982F4A2A-E286-4B95-AD06-43DA0D06504A}</author>
    <author>tc={DFB7A073-04D7-43E3-9E3D-39E114472CBA}</author>
    <author>tc={27AC776F-F4D2-4CEA-8ABF-555E9E51D0A1}</author>
    <author>tc={683B1F06-F900-46F0-9ADB-73F0024F2642}</author>
    <author>tc={96749717-7DDC-4AC6-A28C-101434BFC52A}</author>
    <author>tc={E72103D8-0E7B-42CB-AE1E-E8314678D504}</author>
    <author>tc={7BC9255D-F424-4C02-B4BC-57543DBD360E}</author>
    <author>tc={24D1512A-75AE-4633-887A-D5654EB64671}</author>
    <author>tc={CE7F8072-94E9-46FB-BBAA-C1DCFDF8D5B2}</author>
    <author>tc={BD760DEE-807E-4AB2-AE42-00AB5B01DEA2}</author>
    <author>tc={A36944E1-0B6F-474D-9CEC-B061C7CF1AFE}</author>
    <author>tc={4B919E9D-658F-4FE9-88E6-EC622128029E}</author>
    <author>tc={378D57B5-CB44-49D0-B336-D33C72BC3081}</author>
    <author>tc={35DFDFE3-093C-4B8F-BC27-A99A823B25D3}</author>
    <author>tc={023037C5-7B6B-4272-912A-2A175C94929D}</author>
    <author>tc={606F3BE1-8512-4FDC-AF81-3C2E1C9BEEBF}</author>
    <author>tc={C85DB472-0543-4F5E-AEAB-9CBCDBE24FD3}</author>
    <author>tc={6AC60EE5-C0B9-4246-B9F1-8239007ED348}</author>
    <author>tc={DBBD3686-369B-49C1-B275-5B37AFD0D37C}</author>
    <author>tc={1F63A648-48F5-4BB2-BDFD-DDA22CE9D404}</author>
    <author>tc={FE895024-43E0-4DA8-9BF3-3D98F59F3E7A}</author>
    <author>tc={84FAA147-CC40-4925-A122-8E754030ABD1}</author>
    <author>tc={7900548B-9605-446C-B186-730A320EA548}</author>
    <author>tc={AD0F70C6-1B37-445C-933C-AF92C2889D18}</author>
    <author>tc={7DC6D372-8B94-43DD-BF37-482D25CEC26D}</author>
    <author>tc={E18F1CDF-3B8C-4FDD-82D7-AA7C6875C5A5}</author>
    <author>tc={60F33257-A89B-41F4-8E70-1D25DEA637CA}</author>
    <author>tc={26A7ECED-60C7-4EE7-BA19-1379290500DF}</author>
    <author>tc={24DCEA3D-ADDC-43AF-83B2-886B469C1681}</author>
    <author>tc={BC025EAB-58B4-4E0D-B3E6-C6E2AEFA149A}</author>
  </authors>
  <commentList>
    <comment ref="F11" authorId="0" shapeId="0" xr:uid="{F89806EA-BF23-40BB-A8DB-10603928FFF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13" authorId="1" shapeId="0" xr:uid="{595C473A-9986-45FC-B382-FDEC7C0528C6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F14" authorId="2" shapeId="0" xr:uid="{C900CE89-C546-412B-B3E6-FA4D205C49C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J16" authorId="3" shapeId="0" xr:uid="{78C0C1AB-2119-445A-85FC-FD1CB7E5F393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esta considerando doble la concentración de clientes. El score final varia poco ya que su porcentaje del total es muy bajo. </t>
      </text>
    </comment>
    <comment ref="F95" authorId="4" shapeId="0" xr:uid="{19AACC22-7F5F-424D-8B7A-381F12DF64D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97" authorId="5" shapeId="0" xr:uid="{5AC8D7A9-3465-4942-9184-04BEEE3FE878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F98" authorId="6" shapeId="0" xr:uid="{BBDD3EC2-E9A0-4E10-995D-F4E3FB7FE2C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J100" authorId="7" shapeId="0" xr:uid="{A713D4F0-F5AC-4A1D-81E3-609A5074FCA8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esta considerando doble la concentración de clientes. El score final varia poco ya que su porcentaje del total es muy bajo. </t>
      </text>
    </comment>
    <comment ref="F180" authorId="8" shapeId="0" xr:uid="{D1C5D1F7-35BC-4AEB-B807-0EAFF63B460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182" authorId="9" shapeId="0" xr:uid="{5F56FAE1-C25D-4E81-87B2-1B81BAE1D03D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F183" authorId="10" shapeId="0" xr:uid="{87AD77FC-0E96-4C46-8632-9A3CA4FDF0B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J185" authorId="11" shapeId="0" xr:uid="{EDCF5DBE-4B60-4EFB-99DB-D4BA3F7727E8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esta considerando doble la concentración de clientes. El score final varia poco ya que su porcentaje del total es muy bajo. </t>
      </text>
    </comment>
    <comment ref="F265" authorId="12" shapeId="0" xr:uid="{26F5027D-6CBB-41F2-82F0-C416AD11551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267" authorId="13" shapeId="0" xr:uid="{8CE72500-6D4D-41CD-85D7-426C12CED51C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F268" authorId="14" shapeId="0" xr:uid="{C5031A88-61BF-4FE0-800F-603545EFCAC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J270" authorId="15" shapeId="0" xr:uid="{4883F70A-D746-4798-88E0-CE77CCD71554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esta considerando doble la concentración de clientes. El score final varia poco ya que su porcentaje del total es muy bajo. </t>
      </text>
    </comment>
    <comment ref="F349" authorId="16" shapeId="0" xr:uid="{E2408D36-F462-472E-8267-B06BD6B0FD1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351" authorId="17" shapeId="0" xr:uid="{4CE1C101-1DFD-45F0-90A1-A442CA62172B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F352" authorId="18" shapeId="0" xr:uid="{30FBE36A-AED5-43E3-B7DD-3B80F5093F6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F434" authorId="19" shapeId="0" xr:uid="{3C2F3568-4188-4048-AF50-6CF9DF2BA2B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436" authorId="20" shapeId="0" xr:uid="{0C211416-AA1B-420E-8D4D-0F43CA0F07C8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F437" authorId="21" shapeId="0" xr:uid="{609F12C5-6DE3-4C3E-A848-7C4AE39D28E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F519" authorId="22" shapeId="0" xr:uid="{0B2792C7-06EE-442A-8BB1-67BEA3269F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521" authorId="23" shapeId="0" xr:uid="{6714FD70-4629-46FD-83D3-76DA5C5CA1DC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J521" authorId="24" shapeId="0" xr:uid="{671557C1-3E89-48D2-BF40-EC7FA1901640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modificó el rango </t>
      </text>
    </comment>
    <comment ref="F522" authorId="25" shapeId="0" xr:uid="{4B961F56-3B7A-432E-86A6-343520F25C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B524" authorId="26" shapeId="0" xr:uid="{45B692C3-0FD1-4367-A044-9035CC72B8AE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modificaron pesos
</t>
      </text>
    </comment>
    <comment ref="I524" authorId="27" shapeId="0" xr:uid="{A65140D4-5B90-43F7-9F6E-1687EF300C3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Estamos duplicando HHI y Cliente Mayor</t>
      </text>
    </comment>
    <comment ref="N524" authorId="28" shapeId="0" xr:uid="{32F2B153-1479-4719-A7B8-2B0F8C121918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
</t>
      </text>
    </comment>
    <comment ref="N525" authorId="29" shapeId="0" xr:uid="{6BF5A339-0DB4-43C3-8F7E-6DBDF42B613C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Cambio el Peso porque se quito la variable Activo Vs Ventas y se paso a Capacidad de pago. </t>
      </text>
    </comment>
    <comment ref="F526" authorId="30" shapeId="0" xr:uid="{2BD663F4-700A-4E54-BD11-474930C756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buro score de empresas se mide hasta 400 . Por eso se modificaron los rangos</t>
      </text>
    </comment>
    <comment ref="E527" authorId="31" shapeId="0" xr:uid="{19B18066-C3E1-4080-92CF-1F12BACE6615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cambio el nombre
</t>
      </text>
    </comment>
    <comment ref="F527" authorId="32" shapeId="0" xr:uid="{ACFC9013-C1AA-49AD-A65F-B5DF53F8961F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ajustaron los rangos
</t>
      </text>
    </comment>
    <comment ref="D540" authorId="33" shapeId="0" xr:uid="{C74B2DFB-0842-4A15-86FB-8C1AC0CC5725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ajjusaron los rangos
</t>
      </text>
    </comment>
    <comment ref="I540" authorId="34" shapeId="0" xr:uid="{C18D3657-7438-475A-9EFF-598920F41822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la explicación, se incluyo al inicio &lt;1 muy sano
</t>
      </text>
    </comment>
    <comment ref="A542" authorId="35" shapeId="0" xr:uid="{9A072A8E-E1D3-4011-BBB0-60C1E4149921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Formula corregida </t>
      </text>
    </comment>
    <comment ref="A543" authorId="36" shapeId="0" xr:uid="{58B87A3D-3C73-42B1-A359-0D321C4892C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lo veo en el backoffice</t>
      </text>
    </comment>
    <comment ref="B544" authorId="37" shapeId="0" xr:uid="{E1DDA609-486F-44D8-A95E-2A36693F92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Este no aparece en el backoffice y es mas riguroso que el de abajo Coeficiente ventas. Lo vamos a meter en lugar del Coeficiente Ventas</t>
      </text>
    </comment>
    <comment ref="B545" authorId="38" shapeId="0" xr:uid="{47743C05-8EBC-431F-9B60-ACDFF00DF39A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Mismo caso que en Margen de ventas. Revisar formula
</t>
      </text>
    </comment>
    <comment ref="A548" authorId="39" shapeId="0" xr:uid="{AE836BDB-2814-4975-8343-D13CC6D493FD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Este si aparece en el backoffice pero lo vamos a sustituir por el Coeficiente Flujo </t>
      </text>
    </comment>
    <comment ref="A567" authorId="40" shapeId="0" xr:uid="{ECCC5A4E-8B62-4135-BEBA-64E7F093D3C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añade al concepto “con accesorios” y a la formula hay que incluir el monto de accesorios y la comision por apertura</t>
      </text>
    </comment>
    <comment ref="A572" authorId="41" shapeId="0" xr:uid="{DF02946D-777A-4323-BBA9-316C456C05F2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veo esta variable. La dejamos en las configuraciones. Con los parámetros de políticas </t>
      </text>
    </comment>
    <comment ref="A573" authorId="42" shapeId="0" xr:uid="{1D989027-ACD7-4F2E-A34F-6F3BE3AE3F96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Hay que incluir en el concepto SIN IVA
</t>
      </text>
    </comment>
    <comment ref="D575" authorId="43" shapeId="0" xr:uid="{3E4840D3-DA11-4D48-856F-4D540D5897C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Solo incluí “veces el DSCR por política”</t>
      </text>
    </comment>
    <comment ref="B578" authorId="44" shapeId="0" xr:uid="{39583F6C-4020-4C74-8574-1EF0FCD7B5F5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Este resultado debe de tomar el Precio del activo mas los accesorios. Y ajuste el semáforo ya que no ofrecemos maquinaria y tener un auto con un ratio tan alto sobre ventas no hace sentido. </t>
      </text>
    </comment>
    <comment ref="C578" authorId="45" shapeId="0" xr:uid="{1F02465C-C54D-40EB-BC0C-2C96A8799C62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modifico el rango
</t>
      </text>
    </comment>
    <comment ref="C579" authorId="46" shapeId="0" xr:uid="{E6AE36B3-E876-4713-8939-B7691E6A8E94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Ajuste los parametros
</t>
      </text>
    </comment>
    <comment ref="F602" authorId="47" shapeId="0" xr:uid="{5FB3B516-3565-4968-8FF0-0F2EA177BEA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604" authorId="48" shapeId="0" xr:uid="{37A5C1E7-91D1-4432-885D-C96F76FC569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J604" authorId="49" shapeId="0" xr:uid="{F26B124E-A7CE-4A77-A75B-9B3F35077644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modificó el rango </t>
      </text>
    </comment>
    <comment ref="F605" authorId="50" shapeId="0" xr:uid="{61293818-2577-47C6-8034-79F99746C38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B607" authorId="51" shapeId="0" xr:uid="{16975C2C-72DB-4858-95B3-A7776B422BF6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modificaron pesos
</t>
      </text>
    </comment>
    <comment ref="I607" authorId="52" shapeId="0" xr:uid="{BCBA314B-0EE4-48CE-B705-A121065D616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Estamos duplicando HHI y Cliente Mayor</t>
      </text>
    </comment>
    <comment ref="F609" authorId="53" shapeId="0" xr:uid="{D7B9F17D-21A3-4E63-8532-76F993E9FE3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buro score de empresas se mide hasta 400 . Por eso se modificaron los rangos</t>
      </text>
    </comment>
    <comment ref="E610" authorId="54" shapeId="0" xr:uid="{6AFF31E1-8C7C-4707-953F-41DF37005D10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cambio el nombre
</t>
      </text>
    </comment>
    <comment ref="F610" authorId="55" shapeId="0" xr:uid="{1F8F249A-E5ED-4E9B-A3BD-D01E1000ADDE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ajustaron los rangos
</t>
      </text>
    </comment>
    <comment ref="D623" authorId="56" shapeId="0" xr:uid="{A1FB3B8A-69AE-43D5-8857-A363631B0079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ajjusaron los rangos
</t>
      </text>
    </comment>
    <comment ref="I623" authorId="57" shapeId="0" xr:uid="{A42FFB28-6BC7-4BCB-B0D8-82158ACC662B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la explicación, se incluyo al inicio &lt;1 muy sano
</t>
      </text>
    </comment>
    <comment ref="A625" authorId="58" shapeId="0" xr:uid="{7C9DB66A-4C20-4E5C-B355-6E31797315A4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Formula corregida </t>
      </text>
    </comment>
    <comment ref="A626" authorId="59" shapeId="0" xr:uid="{C6A3C058-1AFA-45D3-A358-173D9CC150C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lo veo en el backoffice</t>
      </text>
    </comment>
    <comment ref="B627" authorId="60" shapeId="0" xr:uid="{D46C4674-C376-4615-AB79-F0900E1B333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Este no aparece en el backoffice y es mas riguroso que el de abajo Coeficiente ventas. Lo vamos a meter en lugar del Coeficiente Ventas</t>
      </text>
    </comment>
    <comment ref="B628" authorId="61" shapeId="0" xr:uid="{BDED953B-13E5-4C82-B7F0-ADE9D650FEA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Mismo caso que en Margen de ventas. Revisar formula
</t>
      </text>
    </comment>
    <comment ref="A631" authorId="62" shapeId="0" xr:uid="{2664C2C7-4188-4CFE-9B7A-04F63F6E3909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Este si aparece en el backoffice pero lo vamos a sustituir por el Coeficiente Flujo </t>
      </text>
    </comment>
    <comment ref="A650" authorId="63" shapeId="0" xr:uid="{BFC6FA1C-25F9-4EAE-9716-01A209B0D60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añade al concepto “con accesorios” y a la formula hay que incluir el monto de accesorios y la comision por apertura</t>
      </text>
    </comment>
    <comment ref="A655" authorId="64" shapeId="0" xr:uid="{A35C0C16-7F37-481D-B355-ADC6F09E736B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veo esta variable. La dejamos en las configuraciones. Con los parámetros de políticas </t>
      </text>
    </comment>
    <comment ref="A656" authorId="65" shapeId="0" xr:uid="{BFBA7EDD-924C-49E1-ADF7-BA1A3283BFC5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Hay que incluir en el concepto SIN IVA
</t>
      </text>
    </comment>
    <comment ref="D658" authorId="66" shapeId="0" xr:uid="{C673BF4B-B045-4971-ADBE-D07BDA9FBBA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Solo incluí “veces el DSCR por política”</t>
      </text>
    </comment>
    <comment ref="B661" authorId="67" shapeId="0" xr:uid="{E5B5FDDC-971E-47A2-82B8-4D20511E5ED6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Este resultado debe de tomar el Precio del activo mas los accesorios. Y ajuste el semáforo ya que no ofrecemos maquinaria y tener un auto con un ratio tan alto sobre ventas no hace sentido. </t>
      </text>
    </comment>
    <comment ref="C661" authorId="68" shapeId="0" xr:uid="{982F4A2A-E286-4B95-AD06-43DA0D06504A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modifico el rango
</t>
      </text>
    </comment>
    <comment ref="C662" authorId="69" shapeId="0" xr:uid="{DFB7A073-04D7-43E3-9E3D-39E114472CBA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Ajuste los parametros
</t>
      </text>
    </comment>
    <comment ref="F685" authorId="70" shapeId="0" xr:uid="{27AC776F-F4D2-4CEA-8ABF-555E9E51D0A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687" authorId="71" shapeId="0" xr:uid="{683B1F06-F900-46F0-9ADB-73F0024F2642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F688" authorId="72" shapeId="0" xr:uid="{96749717-7DDC-4AC6-A28C-101434BFC52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J690" authorId="73" shapeId="0" xr:uid="{E72103D8-0E7B-42CB-AE1E-E8314678D504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esta considerando doble la concentración de clientes. El score final varia poco ya que su porcentaje del total es muy bajo. </t>
      </text>
    </comment>
    <comment ref="F769" authorId="74" shapeId="0" xr:uid="{7BC9255D-F424-4C02-B4BC-57543DBD360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771" authorId="75" shapeId="0" xr:uid="{24D1512A-75AE-4633-887A-D5654EB64671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F772" authorId="76" shapeId="0" xr:uid="{CE7F8072-94E9-46FB-BBAA-C1DCFDF8D5B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J774" authorId="77" shapeId="0" xr:uid="{BD760DEE-807E-4AB2-AE42-00AB5B01DEA2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esta considerando doble la concentración de clientes. El score final varia poco ya que su porcentaje del total es muy bajo. </t>
      </text>
    </comment>
    <comment ref="F852" authorId="78" shapeId="0" xr:uid="{A36944E1-0B6F-474D-9CEC-B061C7CF1AF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854" authorId="79" shapeId="0" xr:uid="{4B919E9D-658F-4FE9-88E6-EC622128029E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F855" authorId="80" shapeId="0" xr:uid="{378D57B5-CB44-49D0-B336-D33C72BC308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J857" authorId="81" shapeId="0" xr:uid="{35DFDFE3-093C-4B8F-BC27-A99A823B25D3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esta considerando doble la concentración de clientes. El score final varia poco ya que su porcentaje del total es muy bajo. </t>
      </text>
    </comment>
    <comment ref="F935" authorId="82" shapeId="0" xr:uid="{023037C5-7B6B-4272-912A-2A175C94929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937" authorId="83" shapeId="0" xr:uid="{606F3BE1-8512-4FDC-AF81-3C2E1C9BEEBF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F938" authorId="84" shapeId="0" xr:uid="{C85DB472-0543-4F5E-AEAB-9CBCDBE24FD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J940" authorId="85" shapeId="0" xr:uid="{6AC60EE5-C0B9-4246-B9F1-8239007ED348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esta considerando doble la concentración de clientes. El score final varia poco ya que su porcentaje del total es muy bajo. </t>
      </text>
    </comment>
    <comment ref="F1018" authorId="86" shapeId="0" xr:uid="{DBBD3686-369B-49C1-B275-5B37AFD0D37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1020" authorId="87" shapeId="0" xr:uid="{1F63A648-48F5-4BB2-BDFD-DDA22CE9D404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F1021" authorId="88" shapeId="0" xr:uid="{FE895024-43E0-4DA8-9BF3-3D98F59F3E7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J1023" authorId="89" shapeId="0" xr:uid="{84FAA147-CC40-4925-A122-8E754030ABD1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esta considerando doble la concentración de clientes. El score final varia poco ya que su porcentaje del total es muy bajo. </t>
      </text>
    </comment>
    <comment ref="F1101" authorId="90" shapeId="0" xr:uid="{7900548B-9605-446C-B186-730A320EA54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1103" authorId="91" shapeId="0" xr:uid="{AD0F70C6-1B37-445C-933C-AF92C2889D18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F1104" authorId="92" shapeId="0" xr:uid="{7DC6D372-8B94-43DD-BF37-482D25CEC26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J1106" authorId="93" shapeId="0" xr:uid="{E18F1CDF-3B8C-4FDD-82D7-AA7C6875C5A5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esta considerando doble la concentración de clientes. El score final varia poco ya que su porcentaje del total es muy bajo. </t>
      </text>
    </comment>
    <comment ref="F1184" authorId="94" shapeId="0" xr:uid="{60F33257-A89B-41F4-8E70-1D25DEA637C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incluyo (B69+1.5) etc para cada rango</t>
      </text>
    </comment>
    <comment ref="F1186" authorId="95" shapeId="0" xr:uid="{26A7ECED-60C7-4EE7-BA19-1379290500DF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el rango
</t>
      </text>
    </comment>
    <comment ref="F1187" authorId="96" shapeId="0" xr:uid="{24DCEA3D-ADDC-43AF-83B2-886B469C168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Modifique los rangos</t>
      </text>
    </comment>
    <comment ref="J1189" authorId="97" shapeId="0" xr:uid="{BC025EAB-58B4-4E0D-B3E6-C6E2AEFA149A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esta considerando doble la concentración de clientes. El score final varia poco ya que su porcentaje del total es muy bajo.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" authorId="0" shapeId="0" xr:uid="{C91083B9-D883-4A7B-BDE5-38310D2DB31E}">
      <text>
        <r>
          <rPr>
            <sz val="11"/>
            <color theme="1"/>
            <rFont val="Aptos Narrow"/>
            <family val="2"/>
            <scheme val="minor"/>
          </rPr>
          <t>======
ID#AAABpuouldw
tc={D864E060-90A3-40B9-84DC-4DA04126E672}    (2025-08-22 23:46:47)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al riesgo y al plazo, se posiciona en un cuadrante y es la comisión que se va a cobrar</t>
        </r>
      </text>
    </comment>
    <comment ref="N2" authorId="0" shapeId="0" xr:uid="{54EFF272-532C-4E3E-B8D7-DEDA2E273374}">
      <text>
        <r>
          <rPr>
            <sz val="11"/>
            <color theme="1"/>
            <rFont val="Aptos Narrow"/>
            <family val="2"/>
            <scheme val="minor"/>
          </rPr>
          <t>======
ID#AAABpuouldw
tc={D864E060-90A3-40B9-84DC-4DA04126E672}    (2025-08-22 23:46:47)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al riesgo y al plazo, se posiciona en un cuadrante y es la comisión que se va a cobrar</t>
        </r>
      </text>
    </comment>
    <comment ref="S2" authorId="0" shapeId="0" xr:uid="{2D29FCD4-08D0-42D6-AE18-029683DA0F70}">
      <text>
        <r>
          <rPr>
            <sz val="11"/>
            <color theme="1"/>
            <rFont val="Aptos Narrow"/>
            <family val="2"/>
            <scheme val="minor"/>
          </rPr>
          <t>======
ID#AAABpuould4
tc={691A97C8-7A85-4EAD-A22D-FA0E09840976}    (2025-08-22 23:46:47)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al riesgo se posiciona en un cuadrante y es el monto o rentas en deposito que se van a solicitar. Esto es adicional a la inversión que quiera dejar el cliente
Considerar que daremos cierto rendimiento bajo por estas rentas . Esto como valor agregado.</t>
        </r>
      </text>
    </comment>
    <comment ref="AC2" authorId="0" shapeId="0" xr:uid="{29EBA556-2970-4EA4-880F-DC8E5DB9E106}">
      <text>
        <r>
          <rPr>
            <sz val="11"/>
            <color theme="1"/>
            <rFont val="Aptos Narrow"/>
            <family val="2"/>
            <scheme val="minor"/>
          </rPr>
          <t>======
ID#AAABpuouldw
tc={D864E060-90A3-40B9-84DC-4DA04126E672}    (2025-08-22 23:46:47)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al riesgo y al plazo, se posiciona en un cuadrante y es la comisión que se va a cobrar</t>
        </r>
      </text>
    </comment>
    <comment ref="N19" authorId="0" shapeId="0" xr:uid="{FA29890D-7F87-4EC9-BDB4-EF74059D385C}">
      <text>
        <r>
          <rPr>
            <sz val="11"/>
            <color theme="1"/>
            <rFont val="Aptos Narrow"/>
            <family val="2"/>
            <scheme val="minor"/>
          </rPr>
          <t>======
ID#AAABpuoulds
tc={4B095DAB-E5A0-4A95-8C1D-5F8907A16D35}    (2025-08-22 23:46:47)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al riesgo se posiciona en un cuadrante y es el monto o rentas en deposito que se van a solicitar. Esto es adicional a la inversión que quiera dejar el cliente
Considerar que daremos cierto rendimiento bajo por estas rentas . Esto como valor agregado.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<sst xmlns="http://schemas.openxmlformats.org/spreadsheetml/2006/main" count="5061" uniqueCount="414">
  <si>
    <t>Ingreso Promedio Mensual</t>
  </si>
  <si>
    <t># Meses</t>
  </si>
  <si>
    <t>Mes</t>
  </si>
  <si>
    <t>Saldo Inicial</t>
  </si>
  <si>
    <t>Saldo Final</t>
  </si>
  <si>
    <t>Total Depósitos</t>
  </si>
  <si>
    <t>Total Retiros</t>
  </si>
  <si>
    <t>Saldo Promedio</t>
  </si>
  <si>
    <t># depositos</t>
  </si>
  <si>
    <t># Retiros</t>
  </si>
  <si>
    <t># Sobregiros</t>
  </si>
  <si>
    <t>Monto Promedio Depositos</t>
  </si>
  <si>
    <t>Monto Promedio Retiro</t>
  </si>
  <si>
    <t>Flujo Mensual</t>
  </si>
  <si>
    <t>Burn Rate Operativo</t>
  </si>
  <si>
    <t>Margen Operativo</t>
  </si>
  <si>
    <t>Cheques Dev.</t>
  </si>
  <si>
    <t>Comisiones</t>
  </si>
  <si>
    <t>Saldo Promedio Mensual General</t>
  </si>
  <si>
    <t>La liquidez promedio que el cliente mantiene en sus cuentas a lo largo del mes.</t>
  </si>
  <si>
    <r>
      <t>Estabilidad Operativa:</t>
    </r>
    <r>
      <rPr>
        <sz val="11"/>
        <color theme="1"/>
        <rFont val="Google Sans Text"/>
        <family val="2"/>
        <charset val="1"/>
      </rPr>
      <t xml:space="preserve"> Muestra la capacidad del cliente para gestionar su capital de trabajo sin quedarse en ceros.</t>
    </r>
  </si>
  <si>
    <t>Sobregiros</t>
  </si>
  <si>
    <t>Frecuencia y magnitud de saldo negativo o excedentes al límite de crédito.</t>
  </si>
  <si>
    <r>
      <t>Indicador de Riesgo y Disciplina:</t>
    </r>
    <r>
      <rPr>
        <sz val="11"/>
        <color theme="1"/>
        <rFont val="Google Sans Text"/>
        <family val="2"/>
        <charset val="1"/>
      </rPr>
      <t xml:space="preserve"> Muestra estrés financiero, mala planeación o dependencia excesiva del financiamiento a corto plazo.</t>
    </r>
  </si>
  <si>
    <t>Ingresos vs. Renta Propuesta</t>
  </si>
  <si>
    <t xml:space="preserve">Ratio de Ingreso total contra el monto de la renta. </t>
  </si>
  <si>
    <t>Determina el porcentaje de su ingreso que se destinará a la renta, estableciendo un límite máximo de endeudamiento.</t>
  </si>
  <si>
    <t>Saldo Final VS Renta Propuesta</t>
  </si>
  <si>
    <t>Compara la renta propuesta contra la liquidez remanente al final del mes.</t>
  </si>
  <si>
    <r>
      <rPr>
        <b/>
        <sz val="11"/>
        <color rgb="FF000000"/>
        <rFont val="Google Sans Text"/>
      </rPr>
      <t>Liquidez Residual:</t>
    </r>
    <r>
      <rPr>
        <sz val="11"/>
        <color rgb="FF000000"/>
        <rFont val="Google Sans Text"/>
      </rPr>
      <t xml:space="preserve"> Es una métrica más estricta que Ingresos vs Renta, asegura que, incluso después de pagar la renta y otros gastos, el cliente mantiene un colchón de seguridad.</t>
    </r>
  </si>
  <si>
    <t>Estabilidad de Ingresos</t>
  </si>
  <si>
    <t>Medida de la variabilidad del ingreso (ej. Coeficiente de Variación). Un valor bajo (cercana a cero) indica una alta estabilidad de ingresos. Un valor alto (ej. mayor a 1) sugiere ingresos volátiles e inestables.</t>
  </si>
  <si>
    <r>
      <t>Fiabilidad:</t>
    </r>
    <r>
      <rPr>
        <sz val="11"/>
        <color theme="1"/>
        <rFont val="Google Sans Text"/>
        <family val="2"/>
        <charset val="1"/>
      </rPr>
      <t xml:space="preserve"> Determina si el ingreso es constante (bajo riesgo) o altamente variable (alto riesgo), lo cual afecta la confianza en pagos futuros.</t>
    </r>
  </si>
  <si>
    <t>Tendencia de Saldo Final Mensual</t>
  </si>
  <si>
    <t>La dirección (positiva, negativa o neutra) de la liquidez del cliente mes a mes. Positivo tienden a subir los saldos finales, negativo a bajar y cercano a cero es que no hay mucha variacion</t>
  </si>
  <si>
    <r>
      <t>Salud Financiera a Largo Plazo:</t>
    </r>
    <r>
      <rPr>
        <sz val="11"/>
        <color theme="1"/>
        <rFont val="Google Sans Text"/>
        <family val="2"/>
        <charset val="1"/>
      </rPr>
      <t xml:space="preserve"> Evalúa si la riqueza del cliente está creciendo o si está descapitalizándose progresivamente.</t>
    </r>
  </si>
  <si>
    <t>Suma</t>
  </si>
  <si>
    <t>Promedio</t>
  </si>
  <si>
    <t>Ponderado</t>
  </si>
  <si>
    <t>Renta mensual Propuesta</t>
  </si>
  <si>
    <t>Score</t>
  </si>
  <si>
    <r>
      <rPr>
        <sz val="11"/>
        <color rgb="FF000000"/>
        <rFont val="Calibri"/>
        <family val="2"/>
      </rPr>
      <t xml:space="preserve">Mide el volumen general de entradas de efectivo. </t>
    </r>
    <r>
      <rPr>
        <i/>
        <sz val="11"/>
        <color rgb="FF000000"/>
        <rFont val="Calibri"/>
        <family val="2"/>
      </rPr>
      <t>no distinguimos entre operativos/no operativos se basa en el total. Podemos complementar observando si hay algunos depositos atípicos.</t>
    </r>
  </si>
  <si>
    <t>Mide Liquidez promedio</t>
  </si>
  <si>
    <t>Saldo Final Promedio reciente</t>
  </si>
  <si>
    <t>Saldo Final Promedio Historico</t>
  </si>
  <si>
    <t>Flujo Neto Estimado Operativo</t>
  </si>
  <si>
    <t>Flujo neto mensual promedio. Monto mensual que le queda a la empresa</t>
  </si>
  <si>
    <t>Cashflow Operativo Ponderado</t>
  </si>
  <si>
    <t>Promedio Ponderado del Flujo Mensual , se le da mas peso a los saldos recientes. ;ucho mas sensible a los flujos y deterioro</t>
  </si>
  <si>
    <t>Burn rate Operativo Ponderado</t>
  </si>
  <si>
    <t>si el negocio consume más de lo que genera, los ultimos meses tienen mas peso</t>
  </si>
  <si>
    <t>Observar y si existen sobregiros puede ser regla de KO</t>
  </si>
  <si>
    <t>Relación Saldo Final / Depósitos</t>
  </si>
  <si>
    <t>Qué porcentaje del dinero logra conservar.</t>
  </si>
  <si>
    <t>Índice de Consistencia de Ingresos</t>
  </si>
  <si>
    <t>Cercano a 1 → ingresos predecibles.</t>
  </si>
  <si>
    <t>Liquidez</t>
  </si>
  <si>
    <t>Promedio Recortado de Saldo / renta ($)</t>
  </si>
  <si>
    <t>Saldo final promedio quitanto los outliers</t>
  </si>
  <si>
    <t>Promedio Recortado de Saldo / renta (Ratio)</t>
  </si>
  <si>
    <t>veces que la mediana acortada del saldo promedio cubre la renta</t>
  </si>
  <si>
    <t>Estabilidad</t>
  </si>
  <si>
    <t>Un valor bajo (cercana a cero) indica una alta estabilidad de ingresos. Un valor alto (ej. mayor a 1) sugiere ingresos volátiles e inestables.</t>
  </si>
  <si>
    <t>Tendencia</t>
  </si>
  <si>
    <t>Peso relativo de saldos recientes</t>
  </si>
  <si>
    <t xml:space="preserve">En promedio el saldo final sube o baja $$$ por mes. Cercano a cero es que no hay mucha variacion. si la liquidez reciente mejora o empeora
</t>
  </si>
  <si>
    <t>Coeficiente de Variación (CV) flujo neto</t>
  </si>
  <si>
    <t>Mide qué tan volátil es el saldo respecto a su promedio.</t>
  </si>
  <si>
    <t>Bajo (&lt;0.5) → estable    Alto (&gt;1) → muy volátil</t>
  </si>
  <si>
    <t>Capacidad de Pago</t>
  </si>
  <si>
    <t>Flujo Operativo Ajustado</t>
  </si>
  <si>
    <t>Deterioro reciente.</t>
  </si>
  <si>
    <t>DSCR Operativo</t>
  </si>
  <si>
    <t>Capacidad REAL de pagar renta. Numero de veces que se cubre la renta con el flujo promedio</t>
  </si>
  <si>
    <t>Score DSCR Operativo</t>
  </si>
  <si>
    <t>Ratio de Liquidez Operativa sobre Ingreso y Egreso</t>
  </si>
  <si>
    <t>Capacidad de cubrir ingresos con egresos</t>
  </si>
  <si>
    <t>Si realmente queda dinero en la empresa mes a mes</t>
  </si>
  <si>
    <t>Capacidad de Pago 40%</t>
  </si>
  <si>
    <t>Peso</t>
  </si>
  <si>
    <t>DSCR 24m</t>
  </si>
  <si>
    <t>Plazo</t>
  </si>
  <si>
    <t>DSCR Req</t>
  </si>
  <si>
    <t>Tasa anual</t>
  </si>
  <si>
    <t>DSCR Ajustado</t>
  </si>
  <si>
    <t>DSCR 36m</t>
  </si>
  <si>
    <t>Burn Rate</t>
  </si>
  <si>
    <t>DSCR 48m</t>
  </si>
  <si>
    <t>DSCR 60m</t>
  </si>
  <si>
    <t>Total</t>
  </si>
  <si>
    <t>Liquidez Real (30%)</t>
  </si>
  <si>
    <t>Renta max</t>
  </si>
  <si>
    <t>Linea de credito maxima</t>
  </si>
  <si>
    <t>Trimmed Mean Saldo/Renta</t>
  </si>
  <si>
    <t>Sobre Saldo Prom</t>
  </si>
  <si>
    <t>Liquidez Operativa</t>
  </si>
  <si>
    <t>Sobre Ingreso Prom</t>
  </si>
  <si>
    <t>Relación saldo/depositos</t>
  </si>
  <si>
    <t>Sobre Saldo Final Reciente</t>
  </si>
  <si>
    <t>Estabilidad Operativa (20%)</t>
  </si>
  <si>
    <t>Reglas KO</t>
  </si>
  <si>
    <t>CV Flujo Neto</t>
  </si>
  <si>
    <t>Condición</t>
  </si>
  <si>
    <t>Acción</t>
  </si>
  <si>
    <t>Consistencia ingresos</t>
  </si>
  <si>
    <t>DSCR &lt; 1</t>
  </si>
  <si>
    <t>Rechazo</t>
  </si>
  <si>
    <t>Burn rate &gt;1.15</t>
  </si>
  <si>
    <t>Revisión/Aval</t>
  </si>
  <si>
    <t>Tendencia / Deterioro (10%)</t>
  </si>
  <si>
    <t>3 meses flujo negativo consecutivo</t>
  </si>
  <si>
    <t>Comité</t>
  </si>
  <si>
    <t>Tendencia ponderada reciente</t>
  </si>
  <si>
    <t>Margen operativo &lt;-10%</t>
  </si>
  <si>
    <t>Revisión</t>
  </si>
  <si>
    <t>Trimmed saldo/renta &lt;0.5</t>
  </si>
  <si>
    <t>SCORE</t>
  </si>
  <si>
    <t>FINAL</t>
  </si>
  <si>
    <t>Riesgo</t>
  </si>
  <si>
    <t>850-1000</t>
  </si>
  <si>
    <t>AAA</t>
  </si>
  <si>
    <t>750-849</t>
  </si>
  <si>
    <t>AA</t>
  </si>
  <si>
    <t>650-749</t>
  </si>
  <si>
    <t>A</t>
  </si>
  <si>
    <t>550-649</t>
  </si>
  <si>
    <t>BB</t>
  </si>
  <si>
    <t>450-549</t>
  </si>
  <si>
    <t>B</t>
  </si>
  <si>
    <t>&lt;450</t>
  </si>
  <si>
    <t>C</t>
  </si>
  <si>
    <t>SAT MENSUAL</t>
  </si>
  <si>
    <t xml:space="preserve">Mes anterior a solicitud </t>
  </si>
  <si>
    <t>Ventas</t>
  </si>
  <si>
    <t>Es la data que sale de Syntge (ya se tienen los end points)</t>
  </si>
  <si>
    <t>Gastos</t>
  </si>
  <si>
    <t>Flujo</t>
  </si>
  <si>
    <t>CxC</t>
  </si>
  <si>
    <t>CxP</t>
  </si>
  <si>
    <t>PESOS SCORE</t>
  </si>
  <si>
    <t>%</t>
  </si>
  <si>
    <t>Puntaje</t>
  </si>
  <si>
    <t>1. Capacidad pago</t>
  </si>
  <si>
    <t>3. Calidad fiscal</t>
  </si>
  <si>
    <t>2. Estabilidad Negocio</t>
  </si>
  <si>
    <t>Capacidad Pago</t>
  </si>
  <si>
    <t>DSCR</t>
  </si>
  <si>
    <t>Cancelaciones</t>
  </si>
  <si>
    <t>Antigüedad empresa</t>
  </si>
  <si>
    <t>Margen ventas</t>
  </si>
  <si>
    <t>Lista negra</t>
  </si>
  <si>
    <t>Meses información</t>
  </si>
  <si>
    <t>Calidad Fiscal</t>
  </si>
  <si>
    <t>Volatilidad ventas</t>
  </si>
  <si>
    <t>Detector fachada</t>
  </si>
  <si>
    <t>Crecimiento ventas</t>
  </si>
  <si>
    <t>Concentracion</t>
  </si>
  <si>
    <t>Ciclo CxC</t>
  </si>
  <si>
    <t>Riesgo Crediticio</t>
  </si>
  <si>
    <t>Ciclo CxP</t>
  </si>
  <si>
    <t>5. Concentracion Clientes</t>
  </si>
  <si>
    <t>4. Riesgo Crediticio</t>
  </si>
  <si>
    <t xml:space="preserve">PFAE </t>
  </si>
  <si>
    <t>HHI</t>
  </si>
  <si>
    <t xml:space="preserve">Riesgo </t>
  </si>
  <si>
    <t>Score buró Moral</t>
  </si>
  <si>
    <t>N/A</t>
  </si>
  <si>
    <t>Cliente mayor</t>
  </si>
  <si>
    <t>Gobierno</t>
  </si>
  <si>
    <t>KO´s</t>
  </si>
  <si>
    <t>rechazo</t>
  </si>
  <si>
    <t>Entidad</t>
  </si>
  <si>
    <t>P. Moral</t>
  </si>
  <si>
    <t>Empresa fachada</t>
  </si>
  <si>
    <t>RESUMEN FINANCIERO</t>
  </si>
  <si>
    <t>12 meses</t>
  </si>
  <si>
    <t>Todo Completo</t>
  </si>
  <si>
    <t>Semaforo</t>
  </si>
  <si>
    <t>Descripcion</t>
  </si>
  <si>
    <t>DSCR &lt;1</t>
  </si>
  <si>
    <t>Ventas Promedio</t>
  </si>
  <si>
    <t xml:space="preserve">Nivel promedio de facturación mensual del negocio. Si Ventas &gt; Gastos Ok. </t>
  </si>
  <si>
    <t>HHI &gt;5000 + Cliente&gt;50%</t>
  </si>
  <si>
    <t>comité</t>
  </si>
  <si>
    <t>Gastos Promedio</t>
  </si>
  <si>
    <t>Nivel promedio de gastos del negocio. Si Gstos &gt; Ventas -&gt; Alerta</t>
  </si>
  <si>
    <t>Flujo negativo + crecimiento negativo</t>
  </si>
  <si>
    <t>Flujo Promedio</t>
  </si>
  <si>
    <t>Flujo operativo promedio disponible antes de deuda.</t>
  </si>
  <si>
    <t>Flujo Ajustado</t>
  </si>
  <si>
    <t xml:space="preserve">Flujo promedio ajustado (conservador) del flujo disponible por factor de riesgo. </t>
  </si>
  <si>
    <t>CxC Promedio</t>
  </si>
  <si>
    <t>Cuánto dinero los clientes le deben al negocio.</t>
  </si>
  <si>
    <t>CxP Promedio</t>
  </si>
  <si>
    <t>Cuánto dinero la empresa debe a proveedores.</t>
  </si>
  <si>
    <t>Ciclo efectivo CxC (dias)</t>
  </si>
  <si>
    <t>| CxC &gt; CxP | empresa financia clientes     |
| CxP &gt; CxC | proveedores financian empresa |</t>
  </si>
  <si>
    <t>Ciclo Efectivo CxP (dias)</t>
  </si>
  <si>
    <t>CxP / Flujo Operativo</t>
  </si>
  <si>
    <t>| &lt;1 Muy Sano &lt;2   bajo riesgo   | 2-3  medio / Estable | 4-5 alto riesgo   |</t>
  </si>
  <si>
    <t>Alerta Debt to Cash</t>
  </si>
  <si>
    <t>Ya esta arriba fila 33 (semaforo de Debt/Cashflow)</t>
  </si>
  <si>
    <t>Margen Ventas - eficiencia de capital</t>
  </si>
  <si>
    <t>Rentabilidad del negocio sobre ventas.</t>
  </si>
  <si>
    <t>Variabilidad de ventas mensuales.</t>
  </si>
  <si>
    <t>Coeficiente Variacion Flujo</t>
  </si>
  <si>
    <t>Score Volatilidad Ventas</t>
  </si>
  <si>
    <t>Medida de volatilidad del negocio. qué tanto cambian las ventas mes a mes. &lt;2	venta estable  2-4% normal , mayor a 4% volatil</t>
  </si>
  <si>
    <t>Meses con ventas</t>
  </si>
  <si>
    <t>Numero de meses que se tiene ventas del rango total que se obtuvo la muestra</t>
  </si>
  <si>
    <t>% meses activos</t>
  </si>
  <si>
    <t>80% | negocio estable | 50-80% | intermitente | &lt;50% | alto riesgo |</t>
  </si>
  <si>
    <t>Crecimiento Ventas</t>
  </si>
  <si>
    <t>10% crecimiento |
0-10%  estable |-10 a 0 alerta |&lt;-10%  deterioro |</t>
  </si>
  <si>
    <t>INDICADORES RIESGO</t>
  </si>
  <si>
    <t>Ingresar Valor</t>
  </si>
  <si>
    <t>Meses con informacion</t>
  </si>
  <si>
    <t>Número de meses con datos fiscales disponibles.</t>
  </si>
  <si>
    <t>Antiguedad empresa meses</t>
  </si>
  <si>
    <t>Tiempo de operación fiscal del negocio.</t>
  </si>
  <si>
    <t>Lista negra SAT (1=si)</t>
  </si>
  <si>
    <t>Indicador de posible empresa fachada o irregularidades fiscales.</t>
  </si>
  <si>
    <t>Alerta Listas Negras</t>
  </si>
  <si>
    <t>semaforo si esta o no en listas negras</t>
  </si>
  <si>
    <t>HHI (concetracion de clientes)</t>
  </si>
  <si>
    <t>Índice de concentración de clientes. Mayor a 1,500 alerta y se reducen puntos.</t>
  </si>
  <si>
    <t>Alerta Concentracion Clientes</t>
  </si>
  <si>
    <t>Semaforo si tiene concentracion</t>
  </si>
  <si>
    <t>Cliente mayor %</t>
  </si>
  <si>
    <t>Dependencia de un solo cliente.</t>
  </si>
  <si>
    <t>Gobierno %</t>
  </si>
  <si>
    <t>Dependencia de ingresos gubernamentales. Mayor a 10% alerta y reduce puntos</t>
  </si>
  <si>
    <t>Cancelaciones %</t>
  </si>
  <si>
    <t>Proporción de facturas canceladas. Mayor a 10% alerta y reduce putos</t>
  </si>
  <si>
    <t>Alerta Cancelaciones</t>
  </si>
  <si>
    <t>Score Buró Moral</t>
  </si>
  <si>
    <t xml:space="preserve">Alerta Buró </t>
  </si>
  <si>
    <t>Alerta Empresa fachada</t>
  </si>
  <si>
    <t xml:space="preserve">Empresas que pueden simular </t>
  </si>
  <si>
    <t>Score Buró Fisica</t>
  </si>
  <si>
    <t>SIMULADOR CREDITO</t>
  </si>
  <si>
    <t>Precio Activo con accesorios</t>
  </si>
  <si>
    <t>Valor del vehículo o equipo a financiar.</t>
  </si>
  <si>
    <t>Enganche / Anticipo</t>
  </si>
  <si>
    <t>Pago inicial del cliente.</t>
  </si>
  <si>
    <t>Residual</t>
  </si>
  <si>
    <t>Monto credito</t>
  </si>
  <si>
    <t>Valor financiado por la arrendadora.</t>
  </si>
  <si>
    <t>Plazo meses</t>
  </si>
  <si>
    <t>Pago mensual sin IVA</t>
  </si>
  <si>
    <t>Cuota mensual del crédito.</t>
  </si>
  <si>
    <t xml:space="preserve">Flujo multiplicado por el porecntaje de ajuste (riesgo) </t>
  </si>
  <si>
    <t>DSCR %</t>
  </si>
  <si>
    <t>DSCR requerido</t>
  </si>
  <si>
    <t>Nivel mínimo de cobertura de deuda que debe tener el cliente para aprobar el crédito según el plazo seleccionado.</t>
  </si>
  <si>
    <t>DSCR Insuficiente</t>
  </si>
  <si>
    <t>Si no tiene la capacidad se pide aval o se rechaza =SI(DSCR Requerido &gt;DSCR de Politica ,"Suficiente",SI(DSCR Requerido&lt;1,"Negativo" y se pide "AVAL"))</t>
  </si>
  <si>
    <t>Activo VS ventas anuales</t>
  </si>
  <si>
    <t>Pago max soportado</t>
  </si>
  <si>
    <t>CAPACIDAD MÁXIMA DE DEUDA</t>
  </si>
  <si>
    <t>Monto máximo de crédito.</t>
  </si>
  <si>
    <t>límite máximo de crédito al cliente.</t>
  </si>
  <si>
    <t>VARIABLES DE POLITICA</t>
  </si>
  <si>
    <t>VALOR</t>
  </si>
  <si>
    <t>Flujo Ajustado % (factor riesgo)</t>
  </si>
  <si>
    <t>Son variables que nosotros ingresamos para todos. Lo equivalente a las matrices del otro modelo</t>
  </si>
  <si>
    <t>Meses minimos info</t>
  </si>
  <si>
    <t xml:space="preserve">El minimo de meses que se quiere tener para correr el modelo </t>
  </si>
  <si>
    <t>Penalizacion info corta</t>
  </si>
  <si>
    <t xml:space="preserve">Puntos por penalizacion si no tiene suficiente info. </t>
  </si>
  <si>
    <t>Penalizacion lista negra</t>
  </si>
  <si>
    <t>Puntos de penalizacion por estar en listas negras</t>
  </si>
  <si>
    <t>Accionista / Pfae</t>
  </si>
  <si>
    <t xml:space="preserve">PM </t>
  </si>
  <si>
    <t>Pfae</t>
  </si>
  <si>
    <t>Calificación</t>
  </si>
  <si>
    <t>Con Syntage</t>
  </si>
  <si>
    <t>Sin Syntage</t>
  </si>
  <si>
    <t>Score sobre 1,000</t>
  </si>
  <si>
    <t xml:space="preserve">Tabla </t>
  </si>
  <si>
    <t>Modelo SAT</t>
  </si>
  <si>
    <t>Incluye Buro PM</t>
  </si>
  <si>
    <t>No incluye Buro</t>
  </si>
  <si>
    <t>Score Buró</t>
  </si>
  <si>
    <t>Score OLR</t>
  </si>
  <si>
    <t>Modelo Bancos</t>
  </si>
  <si>
    <t>tal como esta</t>
  </si>
  <si>
    <t>700+</t>
  </si>
  <si>
    <t>Buró</t>
  </si>
  <si>
    <t>Accionista</t>
  </si>
  <si>
    <t xml:space="preserve">Persona </t>
  </si>
  <si>
    <t>650-699</t>
  </si>
  <si>
    <t>Syntage Score</t>
  </si>
  <si>
    <t>600-649</t>
  </si>
  <si>
    <t>Visita Ocular</t>
  </si>
  <si>
    <t>550-599</t>
  </si>
  <si>
    <t>500-549</t>
  </si>
  <si>
    <t>&lt;500</t>
  </si>
  <si>
    <t xml:space="preserve">Si es PM entonces el modelo SAT toma en cuenta el Bruo de la empresa y adicional en el modelo gneeral se mete el del accionista con cierto peso. </t>
  </si>
  <si>
    <t xml:space="preserve">Si es Pfae en tonces en el modelo SAT no se toma en cuenta y no se pone , se redistribuye el peso a la otra variable de esa seccion  riesgo crediticio. Y se toma en cuenta el buro de la Pfae por fuera con su peso para despues tomar un socre final </t>
  </si>
  <si>
    <t xml:space="preserve">Ejemplo </t>
  </si>
  <si>
    <t>SI / NA</t>
  </si>
  <si>
    <t>NO</t>
  </si>
  <si>
    <t>Sí/No/NA</t>
  </si>
  <si>
    <t>Sí/No</t>
  </si>
  <si>
    <t xml:space="preserve">Respuesta del 1 al 5 </t>
  </si>
  <si>
    <t>1,2,3,4,5,</t>
  </si>
  <si>
    <t>1,2,3,4,5</t>
  </si>
  <si>
    <t>Proporcionados por el modelo, sin opción para el cliente de modificacion</t>
  </si>
  <si>
    <t>linea credito</t>
  </si>
  <si>
    <t>Comisión por apertura</t>
  </si>
  <si>
    <t>Anticipo</t>
  </si>
  <si>
    <t>Descuento Rentas</t>
  </si>
  <si>
    <t>Fondo De Reserva</t>
  </si>
  <si>
    <t>Tasa de crédito</t>
  </si>
  <si>
    <t>Ingreso promedio mensual</t>
  </si>
  <si>
    <t>Deposito en garantia</t>
  </si>
  <si>
    <t>Estabilidad de ingreso</t>
  </si>
  <si>
    <t>&lt;100,000</t>
  </si>
  <si>
    <t>1000000+</t>
  </si>
  <si>
    <t>Todos</t>
  </si>
  <si>
    <t>350 - 400</t>
  </si>
  <si>
    <t>401 - 500</t>
  </si>
  <si>
    <t>501 - 550</t>
  </si>
  <si>
    <t>551 - 600</t>
  </si>
  <si>
    <t>601 - 650</t>
  </si>
  <si>
    <t>651 - 700</t>
  </si>
  <si>
    <t>701 - 850</t>
  </si>
  <si>
    <t>851 -1000</t>
  </si>
  <si>
    <t xml:space="preserve">Min </t>
  </si>
  <si>
    <t>Hasta 6 Mill.</t>
  </si>
  <si>
    <t>Cetes:</t>
  </si>
  <si>
    <t xml:space="preserve">Max </t>
  </si>
  <si>
    <t>Factor rendimiento</t>
  </si>
  <si>
    <t>Creciente</t>
  </si>
  <si>
    <t>Decreciente</t>
  </si>
  <si>
    <t>Creciente Inverso</t>
  </si>
  <si>
    <t>velocidad</t>
  </si>
  <si>
    <t>Lineal</t>
  </si>
  <si>
    <t>Exponencial</t>
  </si>
  <si>
    <t>Proporcionados por el modelo, permite al cliente moverse dentro de ciertos rangos.</t>
  </si>
  <si>
    <t>Renta</t>
  </si>
  <si>
    <t>PLAZO</t>
  </si>
  <si>
    <t>Deposito en garantia (Min)</t>
  </si>
  <si>
    <t>VALOR RESIDUAL</t>
  </si>
  <si>
    <t>Valor Activo sin IVA</t>
  </si>
  <si>
    <t>dice cuántos meses de flujo neto necesita la PyME para liquidar toda su deuda actual con proveedores.</t>
  </si>
  <si>
    <t>Medida de volatilidad del negocio. qué tanto cambia el flujo promedio  mes a mes. &lt;.20 ventas muy estables  .20-.40	normal mayor a 2 inestable (solicitar rentas por adelantado)</t>
  </si>
  <si>
    <t>Historial crediticio del cliente P Moral.</t>
  </si>
  <si>
    <t xml:space="preserve">Es el score que arroja el buro , si no arroja se deja en blanco o se pone el del AVAL </t>
  </si>
  <si>
    <t>Sobregiros &gt; 2</t>
  </si>
  <si>
    <t>Flujo Operativo Saldo Prom Reciente vs Historico</t>
  </si>
  <si>
    <t>Flujo Operativo Flujo Mens Reciente vs Historico</t>
  </si>
  <si>
    <t>estimación del peor escenario probable. Si este número castigado todavía cubre el DSCR exigido, la aprobación es a prueba de balas</t>
  </si>
  <si>
    <t>Ambos &gt; 0 (Positivos): "El negocio está mejorando. Vende más y retiene más saldo".
Saldos suben (&gt;0) pero Flujos bajan (&lt;0): "ESPEJISMO. Tiene más saldo porque pidió un préstamo, pero su operación mensual pierde dinero. Investigar de dónde entró el capital".
Ambos &lt; 0 (Negativos): "Deterioro acelerado. La empresa se está achicando o los gastos la están ahogando".</t>
  </si>
  <si>
    <t>Por cada $1 peso que entra al banco, la empresa gasta 80 centavos y retiene 20. Negocio sano"</t>
  </si>
  <si>
    <t>&lt;10%  100 puntos, 11-20%  80 puntos,  21-30%  40 puntos y  31 -60%  20 puntos y  61- 90% 0 puntos y mayor a 90% quita -40 puntos.  El auto representa xx% de lo que la empresa vende en todo el año. Es un gasto sano y proporcional p exagerado y riesgoso"</t>
  </si>
  <si>
    <t>De cada $100 pesos que la empresa factura, le queda xx% pesos libre después de gastos"</t>
  </si>
  <si>
    <t>Por cada $1 peso de renta que nos va a pagar, a la empresa le sobran $xx pesos de flujo libre</t>
  </si>
  <si>
    <t>Por cada peso en gasto inresar xx en ingreso.</t>
  </si>
  <si>
    <t>SCORE FINAL MORAL</t>
  </si>
  <si>
    <t>SCORE FINAL FISICA</t>
  </si>
  <si>
    <t>Desviación  Flujo</t>
  </si>
  <si>
    <t>Estabilidad Operativa: Muestra la capacidad del cliente para gestionar su capital de trabajo sin quedarse en ceros.</t>
  </si>
  <si>
    <t>Indicador de Riesgo y Disciplina: Muestra estrés financiero, mala planeación o dependencia excesiva del financiamiento a corto plazo.</t>
  </si>
  <si>
    <t>Liquidez Residual: Es una métrica más estricta que Ingresos vs Renta, asegura que, incluso después de pagar la renta y otros gastos, el cliente mantiene un colchón de seguridad.</t>
  </si>
  <si>
    <t>Fiabilidad: Determina si el ingreso es constante (bajo riesgo) o altamente variable (alto riesgo), lo cual afecta la confianza en pagos futuros.</t>
  </si>
  <si>
    <t>Salud Financiera a Largo Plazo: Evalúa si la riqueza del cliente está creciendo o si está descapitalizándose progresivamente.</t>
  </si>
  <si>
    <t>Mide el volumen general de entradas de efectivo. no distinguimos entre operativos/no operativos se basa en el total. Podemos complementar observando si hay algunos depositos atípicos.</t>
  </si>
  <si>
    <t>Flujo Operativo Reciente vs Historico</t>
  </si>
  <si>
    <t>Medida de volatilidad del negocio. qué tanto cambia el flujo promedio  mes a mes. &lt;20%	ventas muy estables  20-40%	normal</t>
  </si>
  <si>
    <t>Volatilidad Ventas</t>
  </si>
  <si>
    <t>Historial crediticio del cliente P NMOral.</t>
  </si>
  <si>
    <t xml:space="preserve">Es el score que arroja el buro , si no arroja se deja en blanco para que se entienda que no arrojo score. </t>
  </si>
  <si>
    <t xml:space="preserve"> 1.5 veces el DSCR por política| cómodo |1.3-1.5 veces el DSCR por política | OK | 1.3-1.1 veces el DSCR por política |aceptable | 0.75.1-1 | riesgo |&lt;0.75 | rechazo |</t>
  </si>
  <si>
    <t xml:space="preserve">&lt;10%   -&gt; 100 puntos  | 11-20%  -&gt; 80 puntos  | 21-30% |-&gt; 40 puntos y 31 -60% 20 puntos y 61%-90% cero puntos y mayor a 90% se quita -40 puntos </t>
  </si>
  <si>
    <t>TERA</t>
  </si>
  <si>
    <t>YENI</t>
  </si>
  <si>
    <t>PLAN 19</t>
  </si>
  <si>
    <t>Ene</t>
  </si>
  <si>
    <t>Feb</t>
  </si>
  <si>
    <t>Mar</t>
  </si>
  <si>
    <t>Abr</t>
  </si>
  <si>
    <t>May</t>
  </si>
  <si>
    <t>Jun</t>
  </si>
  <si>
    <t>No Retiros</t>
  </si>
  <si>
    <t>No. Sobregiros</t>
  </si>
  <si>
    <t>Depositos Promedio Mensual</t>
  </si>
  <si>
    <t>No. depositos</t>
  </si>
  <si>
    <t>Saldo Max del Mes</t>
  </si>
  <si>
    <t>Saldo Min del mes</t>
  </si>
  <si>
    <t>Deposito Max del mes</t>
  </si>
  <si>
    <t>Retiro Max del mes</t>
  </si>
  <si>
    <t>CONSULTORIA GEA</t>
  </si>
  <si>
    <t>Guillermo Pastrana</t>
  </si>
  <si>
    <t>DELOS DESIGN</t>
  </si>
  <si>
    <t xml:space="preserve"> PROYECTOS MEDI SA DE CV</t>
  </si>
  <si>
    <t>NETCLOUD SERVICES</t>
  </si>
  <si>
    <t>GSEEM INTERNACIONAL</t>
  </si>
  <si>
    <t>APARICIO LOGISTC</t>
  </si>
  <si>
    <t>LOGISTICA MIZUSA</t>
  </si>
  <si>
    <t>Crecimiento Gastos</t>
  </si>
  <si>
    <t>Crecimiento gastos</t>
  </si>
  <si>
    <t>Riesgo Transaccional</t>
  </si>
  <si>
    <t>SARO KI</t>
  </si>
  <si>
    <t xml:space="preserve"> INMOBILIARIA PLATEA</t>
  </si>
  <si>
    <t>INFRAESTRUCTURA SEHA</t>
  </si>
  <si>
    <t>F&amp;BS Consulting Capital - FCC190220AU3</t>
  </si>
  <si>
    <r>
      <t xml:space="preserve">LOGISTICA MIZUSA </t>
    </r>
    <r>
      <rPr>
        <sz val="18"/>
        <color theme="1"/>
        <rFont val="Aptos Narrow"/>
        <family val="2"/>
        <scheme val="minor"/>
      </rPr>
      <t>con BANORTE</t>
    </r>
  </si>
  <si>
    <r>
      <t xml:space="preserve">LOGISTICA MIZUSA </t>
    </r>
    <r>
      <rPr>
        <sz val="18"/>
        <color theme="1"/>
        <rFont val="Aptos Narrow"/>
        <family val="2"/>
        <scheme val="minor"/>
      </rPr>
      <t>con Inbursa</t>
    </r>
  </si>
  <si>
    <t>Saldo Operativo  Prom Reciente vs Historico</t>
  </si>
  <si>
    <t>Flujo Operativo Mensual Reciente vs Historico</t>
  </si>
  <si>
    <t>QORVA-MICROPLATE MEXICANA</t>
  </si>
  <si>
    <t>VIESCA Y DE LA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</si>
</sst>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_-[$$-80A]* #,##0.00_-;\-[$$-80A]* #,##0.00_-;_-[$$-80A]* &quot;-&quot;??_-;_-@_-"/>
    <numFmt numFmtId="166" formatCode="_-[$$-80A]* #,##0.0_-;\-[$$-80A]* #,##0.0_-;_-[$$-80A]* &quot;-&quot;??_-;_-@_-"/>
    <numFmt numFmtId="167" formatCode="#,##0.0"/>
    <numFmt numFmtId="168" formatCode="_-* #,##0_-;\-* #,##0_-;_-* &quot;-&quot;??_-;_-@_-"/>
    <numFmt numFmtId="169" formatCode="_-* #,##0.000_-;\-* #,##0.000_-;_-* &quot;-&quot;??_-;_-@_-"/>
    <numFmt numFmtId="170" formatCode="0.0%"/>
    <numFmt numFmtId="171" formatCode="&quot;$&quot;#,##0"/>
    <numFmt numFmtId="172" formatCode="_-&quot;$&quot;* #,##0_-;\-&quot;$&quot;* #,##0_-;_-&quot;$&quot;* &quot;-&quot;??_-;_-@"/>
    <numFmt numFmtId="173" formatCode="_-* #,##0_-;\-* #,##0_-;_-* &quot;-&quot;??_-;_-@"/>
    <numFmt numFmtId="174" formatCode="&quot;fACHADA&quot;\ &quot;+B58&quot;"/>
    <numFmt numFmtId="175" formatCode="0.0000"/>
    <numFmt numFmtId="176" formatCode="0.000000%"/>
    <numFmt numFmtId="177" formatCode="0.000"/>
    <numFmt numFmtId="178" formatCode="0.000%"/>
  </numFmts>
  <fonts count="4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Google Sans Text"/>
      <family val="2"/>
      <charset val="1"/>
    </font>
    <font>
      <sz val="10"/>
      <color theme="1"/>
      <name val="Arial"/>
      <family val="2"/>
    </font>
    <font>
      <sz val="11"/>
      <color theme="1"/>
      <name val="Google Sans Text"/>
      <family val="2"/>
      <charset val="1"/>
    </font>
    <font>
      <b/>
      <sz val="11"/>
      <color rgb="FF000000"/>
      <name val="Google Sans Text"/>
    </font>
    <font>
      <sz val="11"/>
      <color rgb="FF000000"/>
      <name val="Google Sans Text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3.5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5"/>
      <color rgb="FF344054"/>
      <name val="Segoe UI"/>
      <family val="2"/>
    </font>
    <font>
      <sz val="5"/>
      <color theme="1"/>
      <name val="Segoe UI"/>
      <family val="2"/>
    </font>
    <font>
      <sz val="10"/>
      <color theme="1"/>
      <name val="Arial Unicode MS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0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FF0000"/>
      <name val="Aptos Narrow"/>
      <family val="2"/>
      <scheme val="minor"/>
    </font>
    <font>
      <sz val="10"/>
      <color rgb="FFFF0000"/>
      <name val="Arial Unicode MS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rgb="FFB97D29"/>
      <name val="Arial"/>
      <family val="2"/>
    </font>
    <font>
      <b/>
      <sz val="16"/>
      <color rgb="FF00B050"/>
      <name val="Aptos Narrow"/>
      <family val="2"/>
      <scheme val="minor"/>
    </font>
    <font>
      <sz val="9"/>
      <color theme="1"/>
      <name val="Arial"/>
      <family val="2"/>
    </font>
    <font>
      <sz val="10"/>
      <color theme="0" tint="-4.9989318521683403E-2"/>
      <name val="Calibri"/>
      <family val="2"/>
    </font>
    <font>
      <b/>
      <sz val="11"/>
      <name val="Calibri"/>
      <family val="2"/>
    </font>
    <font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FFB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6FCC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1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548135"/>
      </right>
      <top style="medium">
        <color rgb="FF000000"/>
      </top>
      <bottom style="thin">
        <color rgb="FF548135"/>
      </bottom>
      <diagonal/>
    </border>
    <border>
      <left style="thin">
        <color rgb="FF548135"/>
      </left>
      <right style="thin">
        <color rgb="FF548135"/>
      </right>
      <top style="medium">
        <color rgb="FF000000"/>
      </top>
      <bottom style="thin">
        <color rgb="FF548135"/>
      </bottom>
      <diagonal/>
    </border>
    <border>
      <left style="thin">
        <color rgb="FF548135"/>
      </left>
      <right style="medium">
        <color rgb="FF000000"/>
      </right>
      <top style="medium">
        <color rgb="FF000000"/>
      </top>
      <bottom style="thin">
        <color rgb="FF548135"/>
      </bottom>
      <diagonal/>
    </border>
    <border>
      <left style="medium">
        <color indexed="64"/>
      </left>
      <right style="thin">
        <color rgb="FF548135"/>
      </right>
      <top style="medium">
        <color indexed="64"/>
      </top>
      <bottom style="thin">
        <color rgb="FF548135"/>
      </bottom>
      <diagonal/>
    </border>
    <border>
      <left style="thin">
        <color rgb="FF548135"/>
      </left>
      <right style="thin">
        <color rgb="FF548135"/>
      </right>
      <top style="medium">
        <color indexed="64"/>
      </top>
      <bottom style="thin">
        <color rgb="FF548135"/>
      </bottom>
      <diagonal/>
    </border>
    <border>
      <left style="thin">
        <color rgb="FF548135"/>
      </left>
      <right style="medium">
        <color indexed="64"/>
      </right>
      <top style="medium">
        <color indexed="64"/>
      </top>
      <bottom style="thin">
        <color rgb="FF548135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548135"/>
      </right>
      <top style="thin">
        <color rgb="FF548135"/>
      </top>
      <bottom style="medium">
        <color rgb="FF000000"/>
      </bottom>
      <diagonal/>
    </border>
    <border>
      <left style="thin">
        <color rgb="FF548135"/>
      </left>
      <right style="thin">
        <color rgb="FF548135"/>
      </right>
      <top style="thin">
        <color rgb="FF548135"/>
      </top>
      <bottom style="thin">
        <color rgb="FF548135"/>
      </bottom>
      <diagonal/>
    </border>
    <border>
      <left style="thin">
        <color rgb="FF548135"/>
      </left>
      <right style="medium">
        <color rgb="FF000000"/>
      </right>
      <top style="thin">
        <color rgb="FF548135"/>
      </top>
      <bottom style="thin">
        <color rgb="FF548135"/>
      </bottom>
      <diagonal/>
    </border>
    <border>
      <left style="medium">
        <color rgb="FF000000"/>
      </left>
      <right style="thin">
        <color rgb="FF548135"/>
      </right>
      <top style="thin">
        <color rgb="FF548135"/>
      </top>
      <bottom style="thin">
        <color rgb="FF548135"/>
      </bottom>
      <diagonal/>
    </border>
    <border>
      <left style="medium">
        <color indexed="64"/>
      </left>
      <right style="thin">
        <color rgb="FF548135"/>
      </right>
      <top style="thin">
        <color rgb="FF548135"/>
      </top>
      <bottom style="thin">
        <color rgb="FF548135"/>
      </bottom>
      <diagonal/>
    </border>
    <border>
      <left style="thin">
        <color rgb="FF548135"/>
      </left>
      <right style="medium">
        <color indexed="64"/>
      </right>
      <top style="thin">
        <color rgb="FF548135"/>
      </top>
      <bottom style="thin">
        <color rgb="FF548135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548135"/>
      </left>
      <right style="thin">
        <color rgb="FF548135"/>
      </right>
      <top style="thin">
        <color rgb="FF548135"/>
      </top>
      <bottom style="medium">
        <color rgb="FF000000"/>
      </bottom>
      <diagonal/>
    </border>
    <border>
      <left style="thin">
        <color rgb="FF548135"/>
      </left>
      <right style="medium">
        <color rgb="FF000000"/>
      </right>
      <top style="thin">
        <color rgb="FF548135"/>
      </top>
      <bottom style="medium">
        <color rgb="FF000000"/>
      </bottom>
      <diagonal/>
    </border>
    <border>
      <left style="medium">
        <color indexed="64"/>
      </left>
      <right style="thin">
        <color rgb="FF548135"/>
      </right>
      <top style="thin">
        <color rgb="FF548135"/>
      </top>
      <bottom style="medium">
        <color indexed="64"/>
      </bottom>
      <diagonal/>
    </border>
    <border>
      <left style="thin">
        <color rgb="FF548135"/>
      </left>
      <right style="thin">
        <color rgb="FF548135"/>
      </right>
      <top style="thin">
        <color rgb="FF548135"/>
      </top>
      <bottom style="medium">
        <color indexed="64"/>
      </bottom>
      <diagonal/>
    </border>
    <border>
      <left style="thin">
        <color rgb="FF548135"/>
      </left>
      <right style="medium">
        <color indexed="64"/>
      </right>
      <top style="thin">
        <color rgb="FF548135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548135"/>
      </top>
      <bottom style="thin">
        <color rgb="FF548135"/>
      </bottom>
      <diagonal/>
    </border>
    <border>
      <left style="thin">
        <color rgb="FF000000"/>
      </left>
      <right style="thin">
        <color rgb="FF000000"/>
      </right>
      <top style="thin">
        <color rgb="FF548135"/>
      </top>
      <bottom style="thin">
        <color rgb="FF548135"/>
      </bottom>
      <diagonal/>
    </border>
    <border>
      <left style="thin">
        <color rgb="FF000000"/>
      </left>
      <right style="medium">
        <color rgb="FF000000"/>
      </right>
      <top style="thin">
        <color rgb="FF548135"/>
      </top>
      <bottom style="thin">
        <color rgb="FF548135"/>
      </bottom>
      <diagonal/>
    </border>
    <border>
      <left style="medium">
        <color rgb="FF000000"/>
      </left>
      <right style="thin">
        <color rgb="FF000000"/>
      </right>
      <top style="thin">
        <color rgb="FF548135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548135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548135"/>
      </top>
      <bottom style="medium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/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33" fillId="0" borderId="0"/>
  </cellStyleXfs>
  <cellXfs count="5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7" xfId="0" applyBorder="1"/>
    <xf numFmtId="9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0" fillId="0" borderId="2" xfId="0" applyBorder="1"/>
    <xf numFmtId="0" fontId="1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4" fillId="0" borderId="0" xfId="0" applyFont="1"/>
    <xf numFmtId="0" fontId="15" fillId="0" borderId="0" xfId="0" applyFont="1"/>
    <xf numFmtId="44" fontId="0" fillId="0" borderId="0" xfId="0" applyNumberFormat="1"/>
    <xf numFmtId="0" fontId="0" fillId="9" borderId="0" xfId="0" applyFill="1"/>
    <xf numFmtId="0" fontId="0" fillId="0" borderId="14" xfId="0" applyBorder="1"/>
    <xf numFmtId="0" fontId="0" fillId="11" borderId="6" xfId="0" applyFill="1" applyBorder="1" applyAlignment="1">
      <alignment horizontal="center"/>
    </xf>
    <xf numFmtId="43" fontId="0" fillId="0" borderId="0" xfId="1" applyFont="1"/>
    <xf numFmtId="3" fontId="0" fillId="0" borderId="0" xfId="0" applyNumberFormat="1"/>
    <xf numFmtId="3" fontId="16" fillId="0" borderId="0" xfId="0" applyNumberFormat="1" applyFont="1"/>
    <xf numFmtId="8" fontId="0" fillId="0" borderId="0" xfId="0" applyNumberFormat="1"/>
    <xf numFmtId="0" fontId="0" fillId="12" borderId="1" xfId="0" applyFill="1" applyBorder="1"/>
    <xf numFmtId="14" fontId="0" fillId="0" borderId="0" xfId="0" applyNumberFormat="1"/>
    <xf numFmtId="0" fontId="0" fillId="12" borderId="15" xfId="0" applyFill="1" applyBorder="1"/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5" xfId="0" applyBorder="1" applyAlignment="1">
      <alignment horizontal="right"/>
    </xf>
    <xf numFmtId="164" fontId="6" fillId="13" borderId="16" xfId="2" applyNumberFormat="1" applyFont="1" applyFill="1" applyBorder="1"/>
    <xf numFmtId="164" fontId="6" fillId="0" borderId="17" xfId="2" applyNumberFormat="1" applyFont="1" applyFill="1" applyBorder="1"/>
    <xf numFmtId="164" fontId="6" fillId="13" borderId="0" xfId="2" applyNumberFormat="1" applyFont="1" applyFill="1" applyBorder="1"/>
    <xf numFmtId="164" fontId="6" fillId="0" borderId="18" xfId="2" applyNumberFormat="1" applyFont="1" applyFill="1" applyBorder="1"/>
    <xf numFmtId="0" fontId="17" fillId="0" borderId="0" xfId="0" applyFont="1" applyAlignment="1">
      <alignment vertical="center"/>
    </xf>
    <xf numFmtId="6" fontId="0" fillId="0" borderId="0" xfId="0" applyNumberFormat="1"/>
    <xf numFmtId="0" fontId="18" fillId="0" borderId="0" xfId="0" applyFont="1" applyAlignment="1">
      <alignment vertical="center"/>
    </xf>
    <xf numFmtId="0" fontId="0" fillId="0" borderId="7" xfId="0" applyBorder="1" applyAlignment="1">
      <alignment horizontal="right"/>
    </xf>
    <xf numFmtId="164" fontId="6" fillId="13" borderId="19" xfId="2" applyNumberFormat="1" applyFont="1" applyFill="1" applyBorder="1"/>
    <xf numFmtId="164" fontId="6" fillId="0" borderId="20" xfId="2" applyNumberFormat="1" applyFont="1" applyFill="1" applyBorder="1"/>
    <xf numFmtId="0" fontId="0" fillId="14" borderId="15" xfId="0" applyFill="1" applyBorder="1"/>
    <xf numFmtId="0" fontId="0" fillId="14" borderId="4" xfId="0" applyFill="1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22" xfId="0" applyBorder="1"/>
    <xf numFmtId="0" fontId="20" fillId="2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43" fontId="0" fillId="0" borderId="0" xfId="1" applyFont="1" applyAlignment="1">
      <alignment horizontal="center"/>
    </xf>
    <xf numFmtId="0" fontId="22" fillId="0" borderId="0" xfId="0" applyFont="1"/>
    <xf numFmtId="0" fontId="0" fillId="4" borderId="10" xfId="0" applyFill="1" applyBorder="1"/>
    <xf numFmtId="0" fontId="0" fillId="4" borderId="11" xfId="0" applyFill="1" applyBorder="1" applyAlignment="1">
      <alignment horizontal="center"/>
    </xf>
    <xf numFmtId="0" fontId="5" fillId="0" borderId="0" xfId="0" applyFont="1" applyAlignment="1">
      <alignment vertical="center"/>
    </xf>
    <xf numFmtId="169" fontId="0" fillId="0" borderId="0" xfId="1" applyNumberFormat="1" applyFont="1"/>
    <xf numFmtId="2" fontId="0" fillId="0" borderId="0" xfId="1" applyNumberFormat="1" applyFont="1" applyFill="1" applyAlignment="1">
      <alignment horizontal="center"/>
    </xf>
    <xf numFmtId="10" fontId="0" fillId="0" borderId="0" xfId="3" applyNumberFormat="1" applyFont="1" applyFill="1" applyAlignment="1">
      <alignment horizontal="center"/>
    </xf>
    <xf numFmtId="0" fontId="0" fillId="4" borderId="11" xfId="0" applyFill="1" applyBorder="1"/>
    <xf numFmtId="0" fontId="0" fillId="11" borderId="4" xfId="0" applyFill="1" applyBorder="1" applyAlignment="1">
      <alignment horizontal="center"/>
    </xf>
    <xf numFmtId="0" fontId="1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" fontId="0" fillId="11" borderId="6" xfId="1" applyNumberFormat="1" applyFont="1" applyFill="1" applyBorder="1" applyAlignment="1">
      <alignment horizontal="center"/>
    </xf>
    <xf numFmtId="10" fontId="0" fillId="11" borderId="6" xfId="3" applyNumberFormat="1" applyFont="1" applyFill="1" applyBorder="1" applyAlignment="1">
      <alignment horizontal="center"/>
    </xf>
    <xf numFmtId="9" fontId="0" fillId="11" borderId="6" xfId="3" applyFont="1" applyFill="1" applyBorder="1" applyAlignment="1">
      <alignment horizontal="center"/>
    </xf>
    <xf numFmtId="9" fontId="0" fillId="0" borderId="6" xfId="3" applyFont="1" applyFill="1" applyBorder="1" applyAlignment="1">
      <alignment horizontal="center"/>
    </xf>
    <xf numFmtId="0" fontId="0" fillId="11" borderId="6" xfId="1" applyNumberFormat="1" applyFont="1" applyFill="1" applyBorder="1" applyAlignment="1">
      <alignment horizontal="center"/>
    </xf>
    <xf numFmtId="8" fontId="0" fillId="11" borderId="0" xfId="0" applyNumberFormat="1" applyFill="1"/>
    <xf numFmtId="164" fontId="0" fillId="11" borderId="6" xfId="2" applyNumberFormat="1" applyFont="1" applyFill="1" applyBorder="1"/>
    <xf numFmtId="10" fontId="0" fillId="0" borderId="6" xfId="3" applyNumberFormat="1" applyFont="1" applyFill="1" applyBorder="1" applyAlignment="1">
      <alignment horizontal="center"/>
    </xf>
    <xf numFmtId="10" fontId="0" fillId="0" borderId="0" xfId="3" applyNumberFormat="1" applyFont="1"/>
    <xf numFmtId="43" fontId="0" fillId="0" borderId="0" xfId="1" applyFont="1" applyFill="1" applyAlignment="1">
      <alignment horizontal="center"/>
    </xf>
    <xf numFmtId="0" fontId="0" fillId="11" borderId="9" xfId="0" applyFill="1" applyBorder="1" applyAlignment="1">
      <alignment horizontal="center"/>
    </xf>
    <xf numFmtId="0" fontId="23" fillId="0" borderId="0" xfId="4" applyFont="1"/>
    <xf numFmtId="0" fontId="1" fillId="0" borderId="0" xfId="4"/>
    <xf numFmtId="0" fontId="26" fillId="0" borderId="0" xfId="4" applyFont="1"/>
    <xf numFmtId="0" fontId="23" fillId="0" borderId="0" xfId="0" applyFont="1"/>
    <xf numFmtId="0" fontId="23" fillId="0" borderId="0" xfId="0" applyFont="1" applyAlignment="1">
      <alignment horizontal="center"/>
    </xf>
    <xf numFmtId="10" fontId="27" fillId="18" borderId="33" xfId="4" applyNumberFormat="1" applyFont="1" applyFill="1" applyBorder="1" applyAlignment="1">
      <alignment horizontal="center"/>
    </xf>
    <xf numFmtId="10" fontId="27" fillId="18" borderId="34" xfId="4" applyNumberFormat="1" applyFont="1" applyFill="1" applyBorder="1" applyAlignment="1">
      <alignment horizontal="center"/>
    </xf>
    <xf numFmtId="10" fontId="27" fillId="18" borderId="35" xfId="4" applyNumberFormat="1" applyFont="1" applyFill="1" applyBorder="1" applyAlignment="1">
      <alignment horizontal="center"/>
    </xf>
    <xf numFmtId="10" fontId="27" fillId="18" borderId="36" xfId="4" applyNumberFormat="1" applyFont="1" applyFill="1" applyBorder="1"/>
    <xf numFmtId="10" fontId="23" fillId="0" borderId="37" xfId="4" applyNumberFormat="1" applyFont="1" applyBorder="1"/>
    <xf numFmtId="10" fontId="23" fillId="0" borderId="38" xfId="4" applyNumberFormat="1" applyFont="1" applyBorder="1"/>
    <xf numFmtId="10" fontId="23" fillId="0" borderId="0" xfId="4" applyNumberFormat="1" applyFont="1"/>
    <xf numFmtId="10" fontId="27" fillId="18" borderId="36" xfId="4" applyNumberFormat="1" applyFont="1" applyFill="1" applyBorder="1" applyAlignment="1">
      <alignment horizontal="center"/>
    </xf>
    <xf numFmtId="10" fontId="27" fillId="18" borderId="37" xfId="4" applyNumberFormat="1" applyFont="1" applyFill="1" applyBorder="1" applyAlignment="1">
      <alignment horizontal="center"/>
    </xf>
    <xf numFmtId="10" fontId="27" fillId="18" borderId="38" xfId="4" applyNumberFormat="1" applyFont="1" applyFill="1" applyBorder="1" applyAlignment="1">
      <alignment horizontal="center"/>
    </xf>
    <xf numFmtId="10" fontId="27" fillId="18" borderId="39" xfId="3" applyNumberFormat="1" applyFont="1" applyFill="1" applyBorder="1"/>
    <xf numFmtId="10" fontId="27" fillId="18" borderId="40" xfId="3" applyNumberFormat="1" applyFont="1" applyFill="1" applyBorder="1"/>
    <xf numFmtId="10" fontId="27" fillId="18" borderId="41" xfId="3" applyNumberFormat="1" applyFont="1" applyFill="1" applyBorder="1"/>
    <xf numFmtId="10" fontId="27" fillId="19" borderId="37" xfId="4" applyNumberFormat="1" applyFont="1" applyFill="1" applyBorder="1"/>
    <xf numFmtId="10" fontId="27" fillId="19" borderId="38" xfId="4" applyNumberFormat="1" applyFont="1" applyFill="1" applyBorder="1"/>
    <xf numFmtId="10" fontId="27" fillId="18" borderId="42" xfId="4" applyNumberFormat="1" applyFont="1" applyFill="1" applyBorder="1" applyAlignment="1">
      <alignment horizontal="center"/>
    </xf>
    <xf numFmtId="10" fontId="27" fillId="18" borderId="0" xfId="4" applyNumberFormat="1" applyFont="1" applyFill="1" applyAlignment="1">
      <alignment horizontal="center"/>
    </xf>
    <xf numFmtId="10" fontId="27" fillId="18" borderId="43" xfId="4" applyNumberFormat="1" applyFont="1" applyFill="1" applyBorder="1" applyAlignment="1">
      <alignment horizontal="center"/>
    </xf>
    <xf numFmtId="10" fontId="27" fillId="18" borderId="44" xfId="4" applyNumberFormat="1" applyFont="1" applyFill="1" applyBorder="1"/>
    <xf numFmtId="10" fontId="23" fillId="0" borderId="45" xfId="4" applyNumberFormat="1" applyFont="1" applyBorder="1"/>
    <xf numFmtId="10" fontId="23" fillId="0" borderId="46" xfId="4" applyNumberFormat="1" applyFont="1" applyBorder="1"/>
    <xf numFmtId="10" fontId="27" fillId="18" borderId="47" xfId="4" applyNumberFormat="1" applyFont="1" applyFill="1" applyBorder="1" applyAlignment="1">
      <alignment horizontal="center"/>
    </xf>
    <xf numFmtId="10" fontId="27" fillId="18" borderId="45" xfId="4" applyNumberFormat="1" applyFont="1" applyFill="1" applyBorder="1" applyAlignment="1">
      <alignment horizontal="center"/>
    </xf>
    <xf numFmtId="10" fontId="27" fillId="18" borderId="46" xfId="4" applyNumberFormat="1" applyFont="1" applyFill="1" applyBorder="1" applyAlignment="1">
      <alignment horizontal="center"/>
    </xf>
    <xf numFmtId="10" fontId="27" fillId="18" borderId="48" xfId="3" applyNumberFormat="1" applyFont="1" applyFill="1" applyBorder="1"/>
    <xf numFmtId="10" fontId="27" fillId="18" borderId="45" xfId="3" applyNumberFormat="1" applyFont="1" applyFill="1" applyBorder="1"/>
    <xf numFmtId="10" fontId="27" fillId="18" borderId="49" xfId="3" applyNumberFormat="1" applyFont="1" applyFill="1" applyBorder="1"/>
    <xf numFmtId="10" fontId="27" fillId="19" borderId="45" xfId="4" applyNumberFormat="1" applyFont="1" applyFill="1" applyBorder="1"/>
    <xf numFmtId="10" fontId="27" fillId="19" borderId="46" xfId="4" applyNumberFormat="1" applyFont="1" applyFill="1" applyBorder="1"/>
    <xf numFmtId="10" fontId="27" fillId="18" borderId="50" xfId="4" applyNumberFormat="1" applyFont="1" applyFill="1" applyBorder="1" applyAlignment="1">
      <alignment horizontal="center"/>
    </xf>
    <xf numFmtId="10" fontId="27" fillId="18" borderId="51" xfId="4" applyNumberFormat="1" applyFont="1" applyFill="1" applyBorder="1" applyAlignment="1">
      <alignment horizontal="center"/>
    </xf>
    <xf numFmtId="10" fontId="27" fillId="18" borderId="52" xfId="4" applyNumberFormat="1" applyFont="1" applyFill="1" applyBorder="1" applyAlignment="1">
      <alignment horizontal="center"/>
    </xf>
    <xf numFmtId="10" fontId="23" fillId="0" borderId="53" xfId="4" applyNumberFormat="1" applyFont="1" applyBorder="1"/>
    <xf numFmtId="10" fontId="23" fillId="0" borderId="54" xfId="4" applyNumberFormat="1" applyFont="1" applyBorder="1"/>
    <xf numFmtId="10" fontId="27" fillId="18" borderId="44" xfId="4" applyNumberFormat="1" applyFont="1" applyFill="1" applyBorder="1" applyAlignment="1">
      <alignment horizontal="center"/>
    </xf>
    <xf numFmtId="10" fontId="27" fillId="18" borderId="53" xfId="4" applyNumberFormat="1" applyFont="1" applyFill="1" applyBorder="1" applyAlignment="1">
      <alignment horizontal="center"/>
    </xf>
    <xf numFmtId="10" fontId="27" fillId="18" borderId="54" xfId="4" applyNumberFormat="1" applyFont="1" applyFill="1" applyBorder="1" applyAlignment="1">
      <alignment horizontal="center"/>
    </xf>
    <xf numFmtId="10" fontId="27" fillId="18" borderId="55" xfId="3" applyNumberFormat="1" applyFont="1" applyFill="1" applyBorder="1"/>
    <xf numFmtId="10" fontId="27" fillId="18" borderId="56" xfId="3" applyNumberFormat="1" applyFont="1" applyFill="1" applyBorder="1"/>
    <xf numFmtId="10" fontId="27" fillId="18" borderId="57" xfId="3" applyNumberFormat="1" applyFont="1" applyFill="1" applyBorder="1"/>
    <xf numFmtId="10" fontId="27" fillId="19" borderId="53" xfId="4" applyNumberFormat="1" applyFont="1" applyFill="1" applyBorder="1"/>
    <xf numFmtId="9" fontId="23" fillId="0" borderId="0" xfId="3" applyFont="1"/>
    <xf numFmtId="170" fontId="23" fillId="0" borderId="0" xfId="3" applyNumberFormat="1" applyFont="1"/>
    <xf numFmtId="170" fontId="1" fillId="0" borderId="0" xfId="4" applyNumberFormat="1"/>
    <xf numFmtId="10" fontId="1" fillId="0" borderId="0" xfId="4" applyNumberFormat="1"/>
    <xf numFmtId="170" fontId="0" fillId="0" borderId="0" xfId="3" applyNumberFormat="1" applyFont="1"/>
    <xf numFmtId="9" fontId="1" fillId="0" borderId="0" xfId="4" applyNumberFormat="1"/>
    <xf numFmtId="171" fontId="23" fillId="0" borderId="0" xfId="4" applyNumberFormat="1" applyFont="1"/>
    <xf numFmtId="9" fontId="23" fillId="0" borderId="0" xfId="4" applyNumberFormat="1" applyFont="1"/>
    <xf numFmtId="0" fontId="28" fillId="0" borderId="0" xfId="4" applyFont="1"/>
    <xf numFmtId="9" fontId="29" fillId="0" borderId="0" xfId="4" applyNumberFormat="1" applyFont="1"/>
    <xf numFmtId="43" fontId="23" fillId="0" borderId="0" xfId="1" applyFont="1"/>
    <xf numFmtId="0" fontId="25" fillId="0" borderId="0" xfId="4" applyFont="1"/>
    <xf numFmtId="0" fontId="23" fillId="21" borderId="26" xfId="0" applyFont="1" applyFill="1" applyBorder="1" applyAlignment="1">
      <alignment horizontal="center"/>
    </xf>
    <xf numFmtId="3" fontId="23" fillId="21" borderId="27" xfId="0" applyNumberFormat="1" applyFont="1" applyFill="1" applyBorder="1" applyAlignment="1">
      <alignment horizontal="center"/>
    </xf>
    <xf numFmtId="3" fontId="23" fillId="21" borderId="28" xfId="0" applyNumberFormat="1" applyFont="1" applyFill="1" applyBorder="1" applyAlignment="1">
      <alignment horizontal="center"/>
    </xf>
    <xf numFmtId="0" fontId="23" fillId="21" borderId="29" xfId="0" applyFont="1" applyFill="1" applyBorder="1" applyAlignment="1">
      <alignment horizontal="center"/>
    </xf>
    <xf numFmtId="0" fontId="23" fillId="20" borderId="26" xfId="0" applyFont="1" applyFill="1" applyBorder="1" applyAlignment="1">
      <alignment horizontal="center"/>
    </xf>
    <xf numFmtId="0" fontId="23" fillId="20" borderId="27" xfId="0" applyFont="1" applyFill="1" applyBorder="1" applyAlignment="1">
      <alignment horizontal="center"/>
    </xf>
    <xf numFmtId="0" fontId="23" fillId="20" borderId="29" xfId="0" applyFont="1" applyFill="1" applyBorder="1" applyAlignment="1">
      <alignment horizontal="center"/>
    </xf>
    <xf numFmtId="172" fontId="23" fillId="20" borderId="26" xfId="0" applyNumberFormat="1" applyFont="1" applyFill="1" applyBorder="1" applyAlignment="1">
      <alignment horizontal="center"/>
    </xf>
    <xf numFmtId="172" fontId="23" fillId="20" borderId="27" xfId="0" applyNumberFormat="1" applyFont="1" applyFill="1" applyBorder="1" applyAlignment="1">
      <alignment horizontal="center"/>
    </xf>
    <xf numFmtId="172" fontId="23" fillId="20" borderId="29" xfId="0" applyNumberFormat="1" applyFont="1" applyFill="1" applyBorder="1" applyAlignment="1">
      <alignment horizontal="center"/>
    </xf>
    <xf numFmtId="0" fontId="23" fillId="20" borderId="58" xfId="0" applyFont="1" applyFill="1" applyBorder="1" applyAlignment="1">
      <alignment horizontal="center"/>
    </xf>
    <xf numFmtId="0" fontId="23" fillId="20" borderId="59" xfId="0" applyFont="1" applyFill="1" applyBorder="1" applyAlignment="1">
      <alignment horizontal="center"/>
    </xf>
    <xf numFmtId="0" fontId="23" fillId="20" borderId="60" xfId="0" applyFont="1" applyFill="1" applyBorder="1" applyAlignment="1">
      <alignment horizontal="center"/>
    </xf>
    <xf numFmtId="10" fontId="25" fillId="21" borderId="33" xfId="4" applyNumberFormat="1" applyFont="1" applyFill="1" applyBorder="1" applyAlignment="1">
      <alignment horizontal="center"/>
    </xf>
    <xf numFmtId="10" fontId="25" fillId="21" borderId="34" xfId="4" applyNumberFormat="1" applyFont="1" applyFill="1" applyBorder="1" applyAlignment="1">
      <alignment horizontal="center"/>
    </xf>
    <xf numFmtId="10" fontId="25" fillId="21" borderId="35" xfId="4" applyNumberFormat="1" applyFont="1" applyFill="1" applyBorder="1" applyAlignment="1">
      <alignment horizontal="center"/>
    </xf>
    <xf numFmtId="173" fontId="25" fillId="20" borderId="34" xfId="4" applyNumberFormat="1" applyFont="1" applyFill="1" applyBorder="1"/>
    <xf numFmtId="173" fontId="25" fillId="20" borderId="35" xfId="4" applyNumberFormat="1" applyFont="1" applyFill="1" applyBorder="1" applyAlignment="1">
      <alignment horizontal="center"/>
    </xf>
    <xf numFmtId="173" fontId="25" fillId="0" borderId="0" xfId="4" applyNumberFormat="1" applyFont="1" applyAlignment="1">
      <alignment horizontal="center"/>
    </xf>
    <xf numFmtId="10" fontId="25" fillId="20" borderId="61" xfId="4" applyNumberFormat="1" applyFont="1" applyFill="1" applyBorder="1" applyAlignment="1">
      <alignment horizontal="center"/>
    </xf>
    <xf numFmtId="10" fontId="25" fillId="20" borderId="62" xfId="4" applyNumberFormat="1" applyFont="1" applyFill="1" applyBorder="1" applyAlignment="1">
      <alignment horizontal="center"/>
    </xf>
    <xf numFmtId="10" fontId="25" fillId="20" borderId="63" xfId="4" applyNumberFormat="1" applyFont="1" applyFill="1" applyBorder="1" applyAlignment="1">
      <alignment horizontal="center"/>
    </xf>
    <xf numFmtId="10" fontId="25" fillId="20" borderId="36" xfId="4" applyNumberFormat="1" applyFont="1" applyFill="1" applyBorder="1"/>
    <xf numFmtId="10" fontId="25" fillId="20" borderId="37" xfId="4" applyNumberFormat="1" applyFont="1" applyFill="1" applyBorder="1"/>
    <xf numFmtId="10" fontId="25" fillId="20" borderId="38" xfId="4" applyNumberFormat="1" applyFont="1" applyFill="1" applyBorder="1"/>
    <xf numFmtId="10" fontId="25" fillId="21" borderId="42" xfId="4" applyNumberFormat="1" applyFont="1" applyFill="1" applyBorder="1" applyAlignment="1">
      <alignment horizontal="center"/>
    </xf>
    <xf numFmtId="10" fontId="25" fillId="21" borderId="0" xfId="4" applyNumberFormat="1" applyFont="1" applyFill="1" applyAlignment="1">
      <alignment horizontal="center"/>
    </xf>
    <xf numFmtId="10" fontId="25" fillId="21" borderId="43" xfId="4" applyNumberFormat="1" applyFont="1" applyFill="1" applyBorder="1" applyAlignment="1">
      <alignment horizontal="center"/>
    </xf>
    <xf numFmtId="173" fontId="25" fillId="20" borderId="42" xfId="4" applyNumberFormat="1" applyFont="1" applyFill="1" applyBorder="1"/>
    <xf numFmtId="173" fontId="25" fillId="20" borderId="0" xfId="4" applyNumberFormat="1" applyFont="1" applyFill="1"/>
    <xf numFmtId="173" fontId="25" fillId="20" borderId="43" xfId="4" applyNumberFormat="1" applyFont="1" applyFill="1" applyBorder="1" applyAlignment="1">
      <alignment horizontal="center"/>
    </xf>
    <xf numFmtId="10" fontId="25" fillId="20" borderId="64" xfId="4" applyNumberFormat="1" applyFont="1" applyFill="1" applyBorder="1"/>
    <xf numFmtId="10" fontId="25" fillId="20" borderId="65" xfId="4" applyNumberFormat="1" applyFont="1" applyFill="1" applyBorder="1"/>
    <xf numFmtId="10" fontId="25" fillId="20" borderId="66" xfId="4" applyNumberFormat="1" applyFont="1" applyFill="1" applyBorder="1"/>
    <xf numFmtId="10" fontId="25" fillId="21" borderId="50" xfId="4" applyNumberFormat="1" applyFont="1" applyFill="1" applyBorder="1" applyAlignment="1">
      <alignment horizontal="center"/>
    </xf>
    <xf numFmtId="10" fontId="25" fillId="21" borderId="51" xfId="4" applyNumberFormat="1" applyFont="1" applyFill="1" applyBorder="1" applyAlignment="1">
      <alignment horizontal="center"/>
    </xf>
    <xf numFmtId="10" fontId="25" fillId="21" borderId="52" xfId="4" applyNumberFormat="1" applyFont="1" applyFill="1" applyBorder="1" applyAlignment="1">
      <alignment horizontal="center"/>
    </xf>
    <xf numFmtId="173" fontId="25" fillId="20" borderId="50" xfId="4" applyNumberFormat="1" applyFont="1" applyFill="1" applyBorder="1"/>
    <xf numFmtId="173" fontId="25" fillId="20" borderId="51" xfId="4" applyNumberFormat="1" applyFont="1" applyFill="1" applyBorder="1"/>
    <xf numFmtId="173" fontId="25" fillId="20" borderId="52" xfId="4" applyNumberFormat="1" applyFont="1" applyFill="1" applyBorder="1" applyAlignment="1">
      <alignment horizontal="center"/>
    </xf>
    <xf numFmtId="10" fontId="25" fillId="20" borderId="30" xfId="4" applyNumberFormat="1" applyFont="1" applyFill="1" applyBorder="1" applyAlignment="1">
      <alignment horizontal="center"/>
    </xf>
    <xf numFmtId="10" fontId="25" fillId="20" borderId="31" xfId="4" applyNumberFormat="1" applyFont="1" applyFill="1" applyBorder="1" applyAlignment="1">
      <alignment horizontal="center"/>
    </xf>
    <xf numFmtId="10" fontId="25" fillId="20" borderId="32" xfId="4" applyNumberFormat="1" applyFont="1" applyFill="1" applyBorder="1" applyAlignment="1">
      <alignment horizontal="center"/>
    </xf>
    <xf numFmtId="10" fontId="25" fillId="20" borderId="67" xfId="4" applyNumberFormat="1" applyFont="1" applyFill="1" applyBorder="1"/>
    <xf numFmtId="10" fontId="25" fillId="20" borderId="68" xfId="4" applyNumberFormat="1" applyFont="1" applyFill="1" applyBorder="1"/>
    <xf numFmtId="10" fontId="25" fillId="20" borderId="69" xfId="4" applyNumberFormat="1" applyFont="1" applyFill="1" applyBorder="1"/>
    <xf numFmtId="0" fontId="0" fillId="0" borderId="70" xfId="0" applyBorder="1"/>
    <xf numFmtId="0" fontId="0" fillId="0" borderId="71" xfId="0" applyBorder="1"/>
    <xf numFmtId="0" fontId="5" fillId="0" borderId="0" xfId="0" applyFont="1" applyAlignment="1">
      <alignment horizontal="right"/>
    </xf>
    <xf numFmtId="0" fontId="0" fillId="0" borderId="78" xfId="0" applyBorder="1"/>
    <xf numFmtId="0" fontId="0" fillId="0" borderId="79" xfId="0" applyBorder="1" applyAlignment="1">
      <alignment horizontal="right"/>
    </xf>
    <xf numFmtId="9" fontId="0" fillId="0" borderId="0" xfId="0" applyNumberFormat="1" applyAlignment="1">
      <alignment vertical="center" wrapText="1"/>
    </xf>
    <xf numFmtId="0" fontId="0" fillId="0" borderId="75" xfId="0" applyBorder="1"/>
    <xf numFmtId="0" fontId="0" fillId="0" borderId="72" xfId="0" applyBorder="1"/>
    <xf numFmtId="0" fontId="0" fillId="0" borderId="72" xfId="0" applyBorder="1" applyAlignment="1">
      <alignment horizontal="center" vertical="center"/>
    </xf>
    <xf numFmtId="0" fontId="0" fillId="0" borderId="77" xfId="0" applyBorder="1" applyAlignment="1">
      <alignment horizontal="center"/>
    </xf>
    <xf numFmtId="9" fontId="0" fillId="0" borderId="0" xfId="0" applyNumberFormat="1" applyAlignment="1">
      <alignment vertical="center"/>
    </xf>
    <xf numFmtId="0" fontId="0" fillId="0" borderId="75" xfId="0" applyBorder="1" applyAlignment="1">
      <alignment horizontal="right"/>
    </xf>
    <xf numFmtId="0" fontId="0" fillId="0" borderId="79" xfId="0" applyBorder="1"/>
    <xf numFmtId="0" fontId="0" fillId="0" borderId="0" xfId="0" applyAlignment="1">
      <alignment horizontal="center" vertical="center"/>
    </xf>
    <xf numFmtId="0" fontId="5" fillId="0" borderId="79" xfId="0" applyFont="1" applyBorder="1" applyAlignment="1">
      <alignment horizontal="right"/>
    </xf>
    <xf numFmtId="43" fontId="0" fillId="0" borderId="70" xfId="1" applyFont="1" applyBorder="1"/>
    <xf numFmtId="0" fontId="0" fillId="17" borderId="76" xfId="0" applyFill="1" applyBorder="1" applyAlignment="1">
      <alignment horizontal="center"/>
    </xf>
    <xf numFmtId="0" fontId="0" fillId="17" borderId="77" xfId="0" applyFill="1" applyBorder="1" applyAlignment="1">
      <alignment horizontal="center"/>
    </xf>
    <xf numFmtId="0" fontId="0" fillId="22" borderId="76" xfId="0" applyFill="1" applyBorder="1" applyAlignment="1">
      <alignment horizontal="center"/>
    </xf>
    <xf numFmtId="0" fontId="0" fillId="22" borderId="77" xfId="0" applyFill="1" applyBorder="1" applyAlignment="1">
      <alignment horizontal="center"/>
    </xf>
    <xf numFmtId="2" fontId="0" fillId="0" borderId="74" xfId="0" applyNumberFormat="1" applyBorder="1"/>
    <xf numFmtId="2" fontId="0" fillId="0" borderId="0" xfId="0" applyNumberFormat="1" applyAlignment="1">
      <alignment horizontal="center"/>
    </xf>
    <xf numFmtId="0" fontId="0" fillId="9" borderId="6" xfId="0" applyFill="1" applyBorder="1" applyAlignment="1">
      <alignment horizontal="center"/>
    </xf>
    <xf numFmtId="0" fontId="2" fillId="0" borderId="0" xfId="0" applyFont="1"/>
    <xf numFmtId="10" fontId="2" fillId="0" borderId="0" xfId="3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43" fontId="0" fillId="0" borderId="0" xfId="1" applyFont="1" applyFill="1" applyAlignment="1">
      <alignment horizontal="right"/>
    </xf>
    <xf numFmtId="0" fontId="0" fillId="0" borderId="83" xfId="0" applyBorder="1"/>
    <xf numFmtId="0" fontId="0" fillId="0" borderId="84" xfId="0" applyBorder="1" applyAlignment="1">
      <alignment horizontal="center"/>
    </xf>
    <xf numFmtId="0" fontId="0" fillId="0" borderId="85" xfId="0" applyBorder="1"/>
    <xf numFmtId="0" fontId="3" fillId="0" borderId="84" xfId="0" applyFont="1" applyBorder="1" applyAlignment="1">
      <alignment horizontal="center" vertical="center" wrapText="1"/>
    </xf>
    <xf numFmtId="0" fontId="0" fillId="0" borderId="88" xfId="0" applyBorder="1"/>
    <xf numFmtId="0" fontId="0" fillId="5" borderId="21" xfId="0" applyFill="1" applyBorder="1"/>
    <xf numFmtId="2" fontId="0" fillId="5" borderId="21" xfId="0" applyNumberFormat="1" applyFill="1" applyBorder="1"/>
    <xf numFmtId="44" fontId="0" fillId="0" borderId="6" xfId="2" applyFont="1" applyFill="1" applyBorder="1"/>
    <xf numFmtId="0" fontId="0" fillId="0" borderId="0" xfId="0" applyAlignment="1">
      <alignment horizontal="left"/>
    </xf>
    <xf numFmtId="0" fontId="34" fillId="0" borderId="84" xfId="0" applyFont="1" applyBorder="1" applyAlignment="1">
      <alignment horizontal="center" vertical="center" wrapText="1"/>
    </xf>
    <xf numFmtId="0" fontId="0" fillId="3" borderId="85" xfId="0" applyFill="1" applyBorder="1" applyAlignment="1">
      <alignment horizontal="center" vertical="center"/>
    </xf>
    <xf numFmtId="0" fontId="0" fillId="0" borderId="84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2" fontId="0" fillId="0" borderId="85" xfId="0" applyNumberFormat="1" applyBorder="1"/>
    <xf numFmtId="0" fontId="0" fillId="0" borderId="91" xfId="0" applyBorder="1" applyAlignment="1">
      <alignment horizontal="center"/>
    </xf>
    <xf numFmtId="0" fontId="5" fillId="0" borderId="80" xfId="0" applyFont="1" applyBorder="1" applyAlignment="1">
      <alignment horizontal="center" vertical="center" wrapText="1"/>
    </xf>
    <xf numFmtId="0" fontId="0" fillId="0" borderId="94" xfId="0" applyBorder="1" applyAlignment="1">
      <alignment horizontal="center" vertical="center"/>
    </xf>
    <xf numFmtId="9" fontId="0" fillId="0" borderId="89" xfId="0" applyNumberFormat="1" applyBorder="1" applyAlignment="1">
      <alignment horizontal="center"/>
    </xf>
    <xf numFmtId="9" fontId="0" fillId="0" borderId="90" xfId="0" applyNumberFormat="1" applyBorder="1" applyAlignment="1">
      <alignment horizontal="center"/>
    </xf>
    <xf numFmtId="9" fontId="0" fillId="0" borderId="91" xfId="0" applyNumberFormat="1" applyBorder="1" applyAlignment="1">
      <alignment horizontal="center"/>
    </xf>
    <xf numFmtId="0" fontId="0" fillId="0" borderId="80" xfId="0" applyBorder="1" applyAlignment="1">
      <alignment horizontal="center" vertical="center"/>
    </xf>
    <xf numFmtId="2" fontId="0" fillId="5" borderId="88" xfId="0" applyNumberFormat="1" applyFill="1" applyBorder="1"/>
    <xf numFmtId="2" fontId="0" fillId="0" borderId="88" xfId="0" applyNumberFormat="1" applyBorder="1"/>
    <xf numFmtId="43" fontId="0" fillId="0" borderId="89" xfId="1" applyFont="1" applyBorder="1" applyAlignment="1">
      <alignment horizontal="center"/>
    </xf>
    <xf numFmtId="43" fontId="0" fillId="0" borderId="90" xfId="1" applyFont="1" applyBorder="1" applyAlignment="1">
      <alignment horizontal="center"/>
    </xf>
    <xf numFmtId="43" fontId="0" fillId="0" borderId="91" xfId="1" applyFont="1" applyBorder="1" applyAlignment="1">
      <alignment horizontal="center"/>
    </xf>
    <xf numFmtId="0" fontId="0" fillId="0" borderId="83" xfId="0" applyBorder="1" applyAlignment="1">
      <alignment horizontal="center"/>
    </xf>
    <xf numFmtId="2" fontId="0" fillId="0" borderId="85" xfId="0" applyNumberFormat="1" applyBorder="1" applyAlignment="1">
      <alignment horizontal="center"/>
    </xf>
    <xf numFmtId="2" fontId="0" fillId="0" borderId="88" xfId="0" applyNumberFormat="1" applyBorder="1" applyAlignment="1">
      <alignment horizontal="center"/>
    </xf>
    <xf numFmtId="2" fontId="0" fillId="5" borderId="88" xfId="0" applyNumberForma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3" fillId="0" borderId="80" xfId="0" applyFont="1" applyBorder="1" applyAlignment="1">
      <alignment horizontal="center" vertical="center"/>
    </xf>
    <xf numFmtId="0" fontId="0" fillId="0" borderId="81" xfId="0" applyBorder="1" applyAlignment="1">
      <alignment vertical="center"/>
    </xf>
    <xf numFmtId="0" fontId="0" fillId="0" borderId="83" xfId="0" applyBorder="1" applyAlignment="1">
      <alignment vertical="center"/>
    </xf>
    <xf numFmtId="0" fontId="0" fillId="0" borderId="84" xfId="0" applyBorder="1" applyAlignment="1">
      <alignment vertical="center"/>
    </xf>
    <xf numFmtId="0" fontId="0" fillId="0" borderId="85" xfId="0" applyBorder="1" applyAlignment="1">
      <alignment vertical="center"/>
    </xf>
    <xf numFmtId="0" fontId="0" fillId="0" borderId="86" xfId="0" applyBorder="1" applyAlignment="1">
      <alignment vertical="center"/>
    </xf>
    <xf numFmtId="0" fontId="0" fillId="0" borderId="88" xfId="0" applyBorder="1" applyAlignment="1">
      <alignment vertical="center"/>
    </xf>
    <xf numFmtId="0" fontId="0" fillId="5" borderId="95" xfId="0" applyFill="1" applyBorder="1" applyAlignment="1">
      <alignment horizontal="center"/>
    </xf>
    <xf numFmtId="0" fontId="0" fillId="5" borderId="96" xfId="0" applyFill="1" applyBorder="1" applyAlignment="1">
      <alignment horizontal="center"/>
    </xf>
    <xf numFmtId="0" fontId="0" fillId="5" borderId="97" xfId="0" applyFill="1" applyBorder="1" applyAlignment="1">
      <alignment horizontal="center"/>
    </xf>
    <xf numFmtId="44" fontId="0" fillId="0" borderId="6" xfId="0" applyNumberFormat="1" applyBorder="1"/>
    <xf numFmtId="0" fontId="0" fillId="0" borderId="87" xfId="0" applyBorder="1"/>
    <xf numFmtId="0" fontId="0" fillId="0" borderId="15" xfId="0" applyBorder="1"/>
    <xf numFmtId="0" fontId="0" fillId="0" borderId="13" xfId="0" applyBorder="1" applyAlignment="1">
      <alignment horizontal="center"/>
    </xf>
    <xf numFmtId="10" fontId="0" fillId="0" borderId="13" xfId="0" applyNumberFormat="1" applyBorder="1" applyAlignment="1">
      <alignment horizontal="center"/>
    </xf>
    <xf numFmtId="0" fontId="0" fillId="0" borderId="98" xfId="0" applyBorder="1" applyAlignment="1">
      <alignment horizontal="center"/>
    </xf>
    <xf numFmtId="2" fontId="0" fillId="0" borderId="0" xfId="0" applyNumberFormat="1" applyAlignment="1">
      <alignment horizontal="right"/>
    </xf>
    <xf numFmtId="0" fontId="5" fillId="0" borderId="87" xfId="0" applyFont="1" applyBorder="1" applyAlignment="1">
      <alignment horizontal="center"/>
    </xf>
    <xf numFmtId="0" fontId="0" fillId="0" borderId="91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5" fillId="0" borderId="0" xfId="0" applyFont="1" applyAlignment="1">
      <alignment horizontal="center" vertical="center"/>
    </xf>
    <xf numFmtId="44" fontId="5" fillId="0" borderId="0" xfId="2" applyFont="1" applyBorder="1"/>
    <xf numFmtId="44" fontId="5" fillId="0" borderId="0" xfId="2" applyFont="1" applyBorder="1" applyAlignment="1">
      <alignment horizontal="center"/>
    </xf>
    <xf numFmtId="44" fontId="0" fillId="0" borderId="0" xfId="2" applyFont="1" applyBorder="1" applyAlignment="1">
      <alignment horizontal="center"/>
    </xf>
    <xf numFmtId="44" fontId="0" fillId="0" borderId="0" xfId="2" applyFont="1" applyBorder="1"/>
    <xf numFmtId="43" fontId="0" fillId="0" borderId="0" xfId="1" applyFont="1" applyBorder="1" applyAlignment="1"/>
    <xf numFmtId="10" fontId="0" fillId="0" borderId="0" xfId="3" applyNumberFormat="1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99" xfId="0" applyBorder="1"/>
    <xf numFmtId="165" fontId="5" fillId="0" borderId="99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44" fontId="5" fillId="0" borderId="8" xfId="0" applyNumberFormat="1" applyFont="1" applyBorder="1"/>
    <xf numFmtId="44" fontId="5" fillId="0" borderId="9" xfId="0" applyNumberFormat="1" applyFont="1" applyBorder="1"/>
    <xf numFmtId="1" fontId="5" fillId="0" borderId="100" xfId="1" applyNumberFormat="1" applyFont="1" applyBorder="1" applyAlignment="1">
      <alignment horizontal="center"/>
    </xf>
    <xf numFmtId="1" fontId="5" fillId="0" borderId="101" xfId="1" applyNumberFormat="1" applyFont="1" applyBorder="1" applyAlignment="1">
      <alignment horizontal="center"/>
    </xf>
    <xf numFmtId="8" fontId="8" fillId="0" borderId="0" xfId="0" applyNumberFormat="1" applyFont="1"/>
    <xf numFmtId="166" fontId="0" fillId="0" borderId="0" xfId="0" applyNumberFormat="1"/>
    <xf numFmtId="9" fontId="2" fillId="0" borderId="0" xfId="3" applyFont="1" applyBorder="1" applyAlignment="1">
      <alignment horizontal="center"/>
    </xf>
    <xf numFmtId="2" fontId="0" fillId="0" borderId="0" xfId="1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10" xfId="0" applyBorder="1"/>
    <xf numFmtId="0" fontId="0" fillId="0" borderId="11" xfId="0" applyBorder="1"/>
    <xf numFmtId="8" fontId="8" fillId="0" borderId="12" xfId="0" applyNumberFormat="1" applyFont="1" applyBorder="1"/>
    <xf numFmtId="0" fontId="0" fillId="0" borderId="3" xfId="0" applyBorder="1"/>
    <xf numFmtId="165" fontId="0" fillId="0" borderId="3" xfId="0" applyNumberFormat="1" applyBorder="1"/>
    <xf numFmtId="0" fontId="0" fillId="0" borderId="4" xfId="0" applyBorder="1"/>
    <xf numFmtId="0" fontId="0" fillId="0" borderId="6" xfId="0" applyBorder="1"/>
    <xf numFmtId="44" fontId="0" fillId="0" borderId="6" xfId="2" applyFont="1" applyBorder="1"/>
    <xf numFmtId="0" fontId="0" fillId="0" borderId="8" xfId="0" applyBorder="1"/>
    <xf numFmtId="4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4" fontId="0" fillId="0" borderId="14" xfId="0" applyNumberFormat="1" applyBorder="1" applyAlignment="1">
      <alignment horizontal="center" wrapText="1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9" fontId="0" fillId="0" borderId="8" xfId="0" applyNumberFormat="1" applyBorder="1"/>
    <xf numFmtId="10" fontId="0" fillId="0" borderId="22" xfId="3" applyNumberFormat="1" applyFont="1" applyBorder="1" applyAlignment="1">
      <alignment horizontal="center"/>
    </xf>
    <xf numFmtId="4" fontId="0" fillId="0" borderId="22" xfId="0" applyNumberFormat="1" applyBorder="1" applyAlignment="1">
      <alignment horizontal="center"/>
    </xf>
    <xf numFmtId="17" fontId="36" fillId="0" borderId="1" xfId="0" applyNumberFormat="1" applyFont="1" applyBorder="1" applyAlignment="1">
      <alignment horizontal="center" readingOrder="1"/>
    </xf>
    <xf numFmtId="44" fontId="6" fillId="0" borderId="1" xfId="2" applyFont="1" applyBorder="1"/>
    <xf numFmtId="4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readingOrder="1"/>
    </xf>
    <xf numFmtId="44" fontId="6" fillId="0" borderId="1" xfId="2" applyFont="1" applyBorder="1" applyAlignment="1">
      <alignment horizontal="center"/>
    </xf>
    <xf numFmtId="43" fontId="6" fillId="0" borderId="1" xfId="1" applyFont="1" applyBorder="1" applyAlignment="1"/>
    <xf numFmtId="10" fontId="6" fillId="0" borderId="1" xfId="3" applyNumberFormat="1" applyFont="1" applyBorder="1" applyAlignment="1">
      <alignment horizontal="center"/>
    </xf>
    <xf numFmtId="164" fontId="6" fillId="0" borderId="1" xfId="2" applyNumberFormat="1" applyFont="1" applyBorder="1"/>
    <xf numFmtId="0" fontId="6" fillId="0" borderId="1" xfId="0" applyFont="1" applyBorder="1"/>
    <xf numFmtId="165" fontId="5" fillId="0" borderId="2" xfId="0" applyNumberFormat="1" applyFont="1" applyBorder="1" applyAlignment="1">
      <alignment horizontal="center"/>
    </xf>
    <xf numFmtId="44" fontId="5" fillId="0" borderId="7" xfId="0" applyNumberFormat="1" applyFont="1" applyBorder="1"/>
    <xf numFmtId="0" fontId="5" fillId="0" borderId="10" xfId="0" applyFont="1" applyBorder="1" applyAlignment="1">
      <alignment horizontal="center"/>
    </xf>
    <xf numFmtId="0" fontId="0" fillId="0" borderId="12" xfId="0" applyBorder="1"/>
    <xf numFmtId="0" fontId="5" fillId="0" borderId="10" xfId="0" applyFont="1" applyBorder="1" applyAlignment="1">
      <alignment horizontal="left"/>
    </xf>
    <xf numFmtId="175" fontId="0" fillId="0" borderId="14" xfId="2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6" fillId="5" borderId="103" xfId="0" applyFont="1" applyFill="1" applyBorder="1" applyAlignment="1">
      <alignment horizontal="center"/>
    </xf>
    <xf numFmtId="0" fontId="19" fillId="5" borderId="102" xfId="0" applyFont="1" applyFill="1" applyBorder="1" applyAlignment="1">
      <alignment horizontal="center"/>
    </xf>
    <xf numFmtId="174" fontId="6" fillId="5" borderId="103" xfId="0" applyNumberFormat="1" applyFont="1" applyFill="1" applyBorder="1" applyAlignment="1">
      <alignment horizontal="center"/>
    </xf>
    <xf numFmtId="0" fontId="19" fillId="5" borderId="104" xfId="0" applyFont="1" applyFill="1" applyBorder="1" applyAlignment="1">
      <alignment horizontal="center"/>
    </xf>
    <xf numFmtId="174" fontId="6" fillId="5" borderId="105" xfId="0" applyNumberFormat="1" applyFont="1" applyFill="1" applyBorder="1" applyAlignment="1">
      <alignment horizontal="center"/>
    </xf>
    <xf numFmtId="1" fontId="32" fillId="11" borderId="6" xfId="1" applyNumberFormat="1" applyFont="1" applyFill="1" applyBorder="1" applyAlignment="1">
      <alignment horizontal="center"/>
    </xf>
    <xf numFmtId="0" fontId="2" fillId="0" borderId="3" xfId="0" applyFont="1" applyBorder="1"/>
    <xf numFmtId="4" fontId="0" fillId="0" borderId="15" xfId="0" applyNumberFormat="1" applyBorder="1" applyAlignment="1">
      <alignment horizontal="center"/>
    </xf>
    <xf numFmtId="0" fontId="37" fillId="0" borderId="0" xfId="4" applyFont="1"/>
    <xf numFmtId="2" fontId="0" fillId="10" borderId="0" xfId="0" applyNumberFormat="1" applyFill="1"/>
    <xf numFmtId="0" fontId="0" fillId="0" borderId="0" xfId="0" quotePrefix="1"/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42" xfId="0" applyBorder="1"/>
    <xf numFmtId="0" fontId="0" fillId="0" borderId="43" xfId="0" applyBorder="1"/>
    <xf numFmtId="0" fontId="0" fillId="0" borderId="50" xfId="0" applyBorder="1"/>
    <xf numFmtId="0" fontId="0" fillId="0" borderId="51" xfId="0" applyBorder="1" applyAlignment="1">
      <alignment horizontal="center"/>
    </xf>
    <xf numFmtId="0" fontId="0" fillId="0" borderId="52" xfId="0" applyBorder="1"/>
    <xf numFmtId="0" fontId="0" fillId="0" borderId="34" xfId="0" applyBorder="1"/>
    <xf numFmtId="0" fontId="0" fillId="0" borderId="51" xfId="0" applyBorder="1"/>
    <xf numFmtId="0" fontId="0" fillId="0" borderId="23" xfId="0" applyBorder="1"/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25" fillId="0" borderId="0" xfId="0" applyFont="1"/>
    <xf numFmtId="0" fontId="25" fillId="18" borderId="26" xfId="0" applyFont="1" applyFill="1" applyBorder="1" applyAlignment="1">
      <alignment horizontal="center"/>
    </xf>
    <xf numFmtId="3" fontId="25" fillId="18" borderId="27" xfId="0" applyNumberFormat="1" applyFont="1" applyFill="1" applyBorder="1" applyAlignment="1">
      <alignment horizontal="center"/>
    </xf>
    <xf numFmtId="3" fontId="25" fillId="18" borderId="28" xfId="0" applyNumberFormat="1" applyFont="1" applyFill="1" applyBorder="1" applyAlignment="1">
      <alignment horizontal="center"/>
    </xf>
    <xf numFmtId="0" fontId="25" fillId="18" borderId="29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27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0" fontId="25" fillId="18" borderId="30" xfId="0" applyFont="1" applyFill="1" applyBorder="1" applyAlignment="1">
      <alignment horizontal="center"/>
    </xf>
    <xf numFmtId="0" fontId="25" fillId="18" borderId="31" xfId="0" applyFont="1" applyFill="1" applyBorder="1" applyAlignment="1">
      <alignment horizontal="center"/>
    </xf>
    <xf numFmtId="0" fontId="25" fillId="18" borderId="32" xfId="0" applyFont="1" applyFill="1" applyBorder="1" applyAlignment="1">
      <alignment horizontal="center"/>
    </xf>
    <xf numFmtId="0" fontId="25" fillId="19" borderId="27" xfId="0" applyFont="1" applyFill="1" applyBorder="1" applyAlignment="1">
      <alignment horizontal="center"/>
    </xf>
    <xf numFmtId="0" fontId="25" fillId="19" borderId="29" xfId="0" applyFont="1" applyFill="1" applyBorder="1" applyAlignment="1">
      <alignment horizontal="center"/>
    </xf>
    <xf numFmtId="0" fontId="38" fillId="0" borderId="0" xfId="4" applyFont="1"/>
    <xf numFmtId="0" fontId="3" fillId="0" borderId="0" xfId="4" applyFont="1"/>
    <xf numFmtId="2" fontId="0" fillId="9" borderId="21" xfId="0" applyNumberFormat="1" applyFill="1" applyBorder="1"/>
    <xf numFmtId="164" fontId="0" fillId="0" borderId="0" xfId="0" applyNumberFormat="1"/>
    <xf numFmtId="164" fontId="0" fillId="0" borderId="0" xfId="2" applyNumberFormat="1" applyFont="1" applyFill="1"/>
    <xf numFmtId="43" fontId="0" fillId="0" borderId="0" xfId="1" applyFont="1" applyFill="1" applyAlignment="1"/>
    <xf numFmtId="1" fontId="0" fillId="0" borderId="0" xfId="1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3" applyFont="1" applyFill="1" applyAlignment="1">
      <alignment horizontal="center"/>
    </xf>
    <xf numFmtId="43" fontId="0" fillId="0" borderId="6" xfId="1" applyFont="1" applyFill="1" applyBorder="1" applyAlignment="1">
      <alignment horizontal="center"/>
    </xf>
    <xf numFmtId="0" fontId="0" fillId="0" borderId="18" xfId="0" applyBorder="1"/>
    <xf numFmtId="2" fontId="0" fillId="9" borderId="0" xfId="3" applyNumberFormat="1" applyFont="1" applyFill="1" applyAlignment="1">
      <alignment horizontal="center"/>
    </xf>
    <xf numFmtId="8" fontId="0" fillId="9" borderId="9" xfId="0" applyNumberFormat="1" applyFill="1" applyBorder="1"/>
    <xf numFmtId="10" fontId="0" fillId="0" borderId="9" xfId="3" applyNumberFormat="1" applyFont="1" applyFill="1" applyBorder="1" applyAlignment="1">
      <alignment horizontal="center"/>
    </xf>
    <xf numFmtId="0" fontId="0" fillId="9" borderId="5" xfId="0" applyFill="1" applyBorder="1"/>
    <xf numFmtId="175" fontId="0" fillId="9" borderId="0" xfId="1" applyNumberFormat="1" applyFont="1" applyFill="1" applyBorder="1" applyAlignment="1">
      <alignment horizontal="center"/>
    </xf>
    <xf numFmtId="4" fontId="0" fillId="9" borderId="14" xfId="0" applyNumberFormat="1" applyFill="1" applyBorder="1" applyAlignment="1">
      <alignment horizontal="center"/>
    </xf>
    <xf numFmtId="168" fontId="0" fillId="0" borderId="0" xfId="1" applyNumberFormat="1" applyFont="1" applyFill="1" applyBorder="1" applyAlignment="1">
      <alignment vertical="center"/>
    </xf>
    <xf numFmtId="168" fontId="0" fillId="0" borderId="0" xfId="1" applyNumberFormat="1" applyFont="1" applyFill="1" applyBorder="1" applyAlignment="1">
      <alignment vertical="center" wrapText="1"/>
    </xf>
    <xf numFmtId="0" fontId="6" fillId="9" borderId="0" xfId="0" applyFont="1" applyFill="1"/>
    <xf numFmtId="0" fontId="0" fillId="0" borderId="4" xfId="0" applyBorder="1" applyAlignment="1">
      <alignment horizontal="center"/>
    </xf>
    <xf numFmtId="44" fontId="0" fillId="0" borderId="0" xfId="2" applyFont="1"/>
    <xf numFmtId="0" fontId="0" fillId="0" borderId="2" xfId="0" applyBorder="1" applyAlignment="1">
      <alignment horizontal="right"/>
    </xf>
    <xf numFmtId="2" fontId="33" fillId="13" borderId="15" xfId="0" applyNumberFormat="1" applyFont="1" applyFill="1" applyBorder="1" applyAlignment="1">
      <alignment horizontal="center"/>
    </xf>
    <xf numFmtId="2" fontId="33" fillId="26" borderId="1" xfId="0" applyNumberFormat="1" applyFont="1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44" fontId="0" fillId="9" borderId="0" xfId="2" applyFont="1" applyFill="1"/>
    <xf numFmtId="2" fontId="0" fillId="9" borderId="0" xfId="1" applyNumberFormat="1" applyFont="1" applyFill="1" applyAlignment="1">
      <alignment horizontal="center"/>
    </xf>
    <xf numFmtId="0" fontId="0" fillId="0" borderId="102" xfId="0" applyBorder="1" applyAlignment="1">
      <alignment horizontal="center"/>
    </xf>
    <xf numFmtId="0" fontId="6" fillId="0" borderId="15" xfId="0" applyFont="1" applyBorder="1" applyAlignment="1">
      <alignment horizontal="center"/>
    </xf>
    <xf numFmtId="168" fontId="0" fillId="0" borderId="0" xfId="1" applyNumberFormat="1" applyFont="1" applyFill="1"/>
    <xf numFmtId="0" fontId="0" fillId="9" borderId="11" xfId="0" applyFill="1" applyBorder="1"/>
    <xf numFmtId="6" fontId="16" fillId="9" borderId="11" xfId="0" applyNumberFormat="1" applyFont="1" applyFill="1" applyBorder="1"/>
    <xf numFmtId="3" fontId="0" fillId="9" borderId="11" xfId="0" applyNumberFormat="1" applyFill="1" applyBorder="1"/>
    <xf numFmtId="3" fontId="16" fillId="9" borderId="11" xfId="0" applyNumberFormat="1" applyFont="1" applyFill="1" applyBorder="1"/>
    <xf numFmtId="0" fontId="0" fillId="9" borderId="12" xfId="0" applyFill="1" applyBorder="1"/>
    <xf numFmtId="0" fontId="39" fillId="9" borderId="10" xfId="0" applyFont="1" applyFill="1" applyBorder="1"/>
    <xf numFmtId="0" fontId="39" fillId="0" borderId="0" xfId="0" applyFont="1"/>
    <xf numFmtId="6" fontId="16" fillId="0" borderId="0" xfId="0" applyNumberFormat="1" applyFont="1"/>
    <xf numFmtId="0" fontId="7" fillId="0" borderId="106" xfId="0" applyFont="1" applyBorder="1" applyAlignment="1">
      <alignment horizontal="center" vertical="center" wrapText="1"/>
    </xf>
    <xf numFmtId="0" fontId="9" fillId="0" borderId="106" xfId="0" applyFont="1" applyBorder="1" applyAlignment="1">
      <alignment horizontal="center" vertical="center" wrapText="1"/>
    </xf>
    <xf numFmtId="17" fontId="36" fillId="0" borderId="22" xfId="0" applyNumberFormat="1" applyFont="1" applyBorder="1" applyAlignment="1">
      <alignment horizontal="center" readingOrder="1"/>
    </xf>
    <xf numFmtId="44" fontId="6" fillId="0" borderId="22" xfId="2" applyFont="1" applyBorder="1"/>
    <xf numFmtId="4" fontId="6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36" fillId="0" borderId="22" xfId="0" applyFont="1" applyBorder="1" applyAlignment="1">
      <alignment horizontal="center" readingOrder="1"/>
    </xf>
    <xf numFmtId="44" fontId="6" fillId="0" borderId="22" xfId="2" applyFont="1" applyBorder="1" applyAlignment="1">
      <alignment horizontal="center"/>
    </xf>
    <xf numFmtId="43" fontId="6" fillId="0" borderId="22" xfId="1" applyFont="1" applyBorder="1" applyAlignment="1"/>
    <xf numFmtId="10" fontId="6" fillId="0" borderId="22" xfId="3" applyNumberFormat="1" applyFont="1" applyBorder="1" applyAlignment="1">
      <alignment horizontal="center"/>
    </xf>
    <xf numFmtId="164" fontId="6" fillId="0" borderId="22" xfId="2" applyNumberFormat="1" applyFont="1" applyBorder="1"/>
    <xf numFmtId="0" fontId="0" fillId="5" borderId="100" xfId="0" applyFill="1" applyBorder="1" applyAlignment="1">
      <alignment horizontal="center" vertical="center" wrapText="1"/>
    </xf>
    <xf numFmtId="0" fontId="8" fillId="5" borderId="107" xfId="0" applyFont="1" applyFill="1" applyBorder="1" applyAlignment="1">
      <alignment horizontal="center" vertical="center" wrapText="1" readingOrder="1"/>
    </xf>
    <xf numFmtId="0" fontId="36" fillId="5" borderId="107" xfId="0" applyFont="1" applyFill="1" applyBorder="1" applyAlignment="1">
      <alignment horizontal="center" vertical="center" wrapText="1" readingOrder="1"/>
    </xf>
    <xf numFmtId="0" fontId="8" fillId="5" borderId="101" xfId="0" applyFont="1" applyFill="1" applyBorder="1" applyAlignment="1">
      <alignment horizontal="center" vertical="center" wrapText="1" readingOrder="1"/>
    </xf>
    <xf numFmtId="166" fontId="0" fillId="0" borderId="3" xfId="0" applyNumberFormat="1" applyBorder="1"/>
    <xf numFmtId="0" fontId="5" fillId="0" borderId="11" xfId="0" applyFont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32" fillId="24" borderId="89" xfId="0" applyFont="1" applyFill="1" applyBorder="1" applyAlignment="1">
      <alignment horizontal="center" vertical="center" wrapText="1"/>
    </xf>
    <xf numFmtId="0" fontId="32" fillId="24" borderId="90" xfId="0" applyFont="1" applyFill="1" applyBorder="1" applyAlignment="1">
      <alignment horizontal="center" vertical="center" wrapText="1"/>
    </xf>
    <xf numFmtId="0" fontId="32" fillId="24" borderId="91" xfId="0" applyFont="1" applyFill="1" applyBorder="1" applyAlignment="1">
      <alignment horizontal="center" vertical="center" wrapText="1"/>
    </xf>
    <xf numFmtId="0" fontId="0" fillId="2" borderId="98" xfId="0" applyFill="1" applyBorder="1" applyAlignment="1">
      <alignment horizontal="center"/>
    </xf>
    <xf numFmtId="8" fontId="8" fillId="2" borderId="12" xfId="0" applyNumberFormat="1" applyFont="1" applyFill="1" applyBorder="1"/>
    <xf numFmtId="0" fontId="0" fillId="0" borderId="108" xfId="0" applyBorder="1"/>
    <xf numFmtId="2" fontId="0" fillId="0" borderId="78" xfId="0" applyNumberFormat="1" applyBorder="1"/>
    <xf numFmtId="0" fontId="0" fillId="0" borderId="13" xfId="0" applyBorder="1"/>
    <xf numFmtId="2" fontId="0" fillId="10" borderId="13" xfId="0" applyNumberFormat="1" applyFill="1" applyBorder="1"/>
    <xf numFmtId="176" fontId="0" fillId="0" borderId="0" xfId="3" applyNumberFormat="1" applyFont="1"/>
    <xf numFmtId="4" fontId="0" fillId="0" borderId="0" xfId="0" applyNumberFormat="1"/>
    <xf numFmtId="8" fontId="8" fillId="2" borderId="12" xfId="0" applyNumberFormat="1" applyFont="1" applyFill="1" applyBorder="1" applyAlignment="1">
      <alignment wrapText="1"/>
    </xf>
    <xf numFmtId="0" fontId="33" fillId="0" borderId="0" xfId="5"/>
    <xf numFmtId="17" fontId="36" fillId="0" borderId="7" xfId="0" applyNumberFormat="1" applyFont="1" applyBorder="1" applyAlignment="1">
      <alignment horizontal="center" readingOrder="1"/>
    </xf>
    <xf numFmtId="17" fontId="36" fillId="0" borderId="10" xfId="0" applyNumberFormat="1" applyFont="1" applyBorder="1" applyAlignment="1">
      <alignment horizontal="center" readingOrder="1"/>
    </xf>
    <xf numFmtId="0" fontId="36" fillId="0" borderId="9" xfId="0" applyFont="1" applyBorder="1" applyAlignment="1">
      <alignment horizontal="center" readingOrder="1"/>
    </xf>
    <xf numFmtId="0" fontId="36" fillId="0" borderId="12" xfId="0" applyFont="1" applyBorder="1" applyAlignment="1">
      <alignment horizontal="center" readingOrder="1"/>
    </xf>
    <xf numFmtId="0" fontId="8" fillId="5" borderId="109" xfId="0" applyFont="1" applyFill="1" applyBorder="1" applyAlignment="1">
      <alignment horizontal="center" vertical="center" wrapText="1" readingOrder="1"/>
    </xf>
    <xf numFmtId="0" fontId="36" fillId="5" borderId="109" xfId="0" applyFont="1" applyFill="1" applyBorder="1" applyAlignment="1">
      <alignment horizontal="center" vertical="center" wrapText="1" readingOrder="1"/>
    </xf>
    <xf numFmtId="165" fontId="5" fillId="0" borderId="13" xfId="0" applyNumberFormat="1" applyFont="1" applyBorder="1" applyAlignment="1">
      <alignment horizontal="center"/>
    </xf>
    <xf numFmtId="165" fontId="6" fillId="0" borderId="13" xfId="0" applyNumberFormat="1" applyFont="1" applyBorder="1" applyAlignment="1">
      <alignment horizontal="center"/>
    </xf>
    <xf numFmtId="10" fontId="0" fillId="9" borderId="0" xfId="3" applyNumberFormat="1" applyFont="1" applyFill="1" applyAlignment="1">
      <alignment horizontal="center"/>
    </xf>
    <xf numFmtId="1" fontId="0" fillId="9" borderId="0" xfId="1" applyNumberFormat="1" applyFont="1" applyFill="1" applyAlignment="1">
      <alignment horizontal="center"/>
    </xf>
    <xf numFmtId="1" fontId="0" fillId="0" borderId="0" xfId="0" applyNumberFormat="1"/>
    <xf numFmtId="0" fontId="0" fillId="9" borderId="0" xfId="0" applyFill="1" applyAlignment="1">
      <alignment horizontal="right" vertical="center"/>
    </xf>
    <xf numFmtId="0" fontId="0" fillId="9" borderId="0" xfId="0" applyFill="1" applyAlignment="1">
      <alignment horizontal="left" vertical="center"/>
    </xf>
    <xf numFmtId="44" fontId="5" fillId="9" borderId="0" xfId="2" applyFont="1" applyFill="1"/>
    <xf numFmtId="8" fontId="0" fillId="10" borderId="9" xfId="0" applyNumberFormat="1" applyFill="1" applyBorder="1"/>
    <xf numFmtId="175" fontId="0" fillId="0" borderId="0" xfId="1" applyNumberFormat="1" applyFont="1" applyFill="1" applyBorder="1" applyAlignment="1">
      <alignment horizontal="center"/>
    </xf>
    <xf numFmtId="1" fontId="0" fillId="9" borderId="0" xfId="0" applyNumberFormat="1" applyFill="1"/>
    <xf numFmtId="10" fontId="0" fillId="9" borderId="6" xfId="3" applyNumberFormat="1" applyFont="1" applyFill="1" applyBorder="1" applyAlignment="1">
      <alignment horizontal="center"/>
    </xf>
    <xf numFmtId="177" fontId="0" fillId="0" borderId="0" xfId="1" applyNumberFormat="1" applyFont="1" applyFill="1" applyBorder="1" applyAlignment="1">
      <alignment horizontal="center"/>
    </xf>
    <xf numFmtId="9" fontId="0" fillId="9" borderId="6" xfId="3" applyFont="1" applyFill="1" applyBorder="1" applyAlignment="1">
      <alignment horizontal="center"/>
    </xf>
    <xf numFmtId="1" fontId="32" fillId="0" borderId="6" xfId="1" applyNumberFormat="1" applyFont="1" applyFill="1" applyBorder="1" applyAlignment="1">
      <alignment horizontal="center"/>
    </xf>
    <xf numFmtId="178" fontId="0" fillId="11" borderId="6" xfId="3" applyNumberFormat="1" applyFont="1" applyFill="1" applyBorder="1" applyAlignment="1">
      <alignment horizontal="center"/>
    </xf>
    <xf numFmtId="0" fontId="39" fillId="9" borderId="10" xfId="0" applyFont="1" applyFill="1" applyBorder="1" applyAlignment="1">
      <alignment horizontal="left"/>
    </xf>
    <xf numFmtId="0" fontId="39" fillId="9" borderId="11" xfId="0" applyFont="1" applyFill="1" applyBorder="1" applyAlignment="1">
      <alignment horizontal="left"/>
    </xf>
    <xf numFmtId="0" fontId="0" fillId="15" borderId="0" xfId="0" applyFill="1" applyAlignment="1">
      <alignment horizontal="center" vertical="center"/>
    </xf>
    <xf numFmtId="0" fontId="32" fillId="24" borderId="89" xfId="0" applyFont="1" applyFill="1" applyBorder="1" applyAlignment="1">
      <alignment horizontal="center" vertical="center" wrapText="1"/>
    </xf>
    <xf numFmtId="0" fontId="32" fillId="24" borderId="90" xfId="0" applyFont="1" applyFill="1" applyBorder="1" applyAlignment="1">
      <alignment horizontal="center" vertical="center" wrapText="1"/>
    </xf>
    <xf numFmtId="0" fontId="32" fillId="24" borderId="91" xfId="0" applyFont="1" applyFill="1" applyBorder="1" applyAlignment="1">
      <alignment horizontal="center" vertical="center" wrapText="1"/>
    </xf>
    <xf numFmtId="168" fontId="0" fillId="0" borderId="0" xfId="1" applyNumberFormat="1" applyFont="1" applyFill="1" applyBorder="1" applyAlignment="1">
      <alignment horizontal="center" vertical="center" wrapText="1"/>
    </xf>
    <xf numFmtId="168" fontId="0" fillId="25" borderId="92" xfId="1" applyNumberFormat="1" applyFont="1" applyFill="1" applyBorder="1" applyAlignment="1">
      <alignment horizontal="center" vertical="center" wrapText="1"/>
    </xf>
    <xf numFmtId="168" fontId="0" fillId="25" borderId="93" xfId="1" applyNumberFormat="1" applyFont="1" applyFill="1" applyBorder="1" applyAlignment="1">
      <alignment horizontal="center" vertical="center" wrapText="1"/>
    </xf>
    <xf numFmtId="168" fontId="0" fillId="25" borderId="94" xfId="1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17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92" xfId="0" applyFill="1" applyBorder="1" applyAlignment="1">
      <alignment horizontal="center" wrapText="1"/>
    </xf>
    <xf numFmtId="0" fontId="0" fillId="5" borderId="94" xfId="0" applyFill="1" applyBorder="1" applyAlignment="1">
      <alignment horizontal="center" wrapText="1"/>
    </xf>
    <xf numFmtId="168" fontId="5" fillId="25" borderId="89" xfId="1" applyNumberFormat="1" applyFont="1" applyFill="1" applyBorder="1" applyAlignment="1">
      <alignment horizontal="center" vertical="center" wrapText="1"/>
    </xf>
    <xf numFmtId="168" fontId="5" fillId="25" borderId="90" xfId="1" applyNumberFormat="1" applyFont="1" applyFill="1" applyBorder="1" applyAlignment="1">
      <alignment horizontal="center" vertical="center" wrapText="1"/>
    </xf>
    <xf numFmtId="168" fontId="5" fillId="25" borderId="91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/>
    </xf>
    <xf numFmtId="44" fontId="5" fillId="10" borderId="5" xfId="2" applyFont="1" applyFill="1" applyBorder="1" applyAlignment="1">
      <alignment horizontal="center"/>
    </xf>
    <xf numFmtId="44" fontId="5" fillId="10" borderId="6" xfId="2" applyFont="1" applyFill="1" applyBorder="1" applyAlignment="1">
      <alignment horizontal="center"/>
    </xf>
    <xf numFmtId="8" fontId="5" fillId="10" borderId="5" xfId="0" applyNumberFormat="1" applyFont="1" applyFill="1" applyBorder="1" applyAlignment="1">
      <alignment horizontal="center"/>
    </xf>
    <xf numFmtId="8" fontId="5" fillId="10" borderId="0" xfId="0" applyNumberFormat="1" applyFont="1" applyFill="1" applyAlignment="1">
      <alignment horizontal="center"/>
    </xf>
    <xf numFmtId="8" fontId="5" fillId="10" borderId="6" xfId="0" applyNumberFormat="1" applyFont="1" applyFill="1" applyBorder="1" applyAlignment="1">
      <alignment horizontal="center"/>
    </xf>
    <xf numFmtId="44" fontId="5" fillId="10" borderId="7" xfId="2" applyFont="1" applyFill="1" applyBorder="1" applyAlignment="1">
      <alignment horizontal="center"/>
    </xf>
    <xf numFmtId="44" fontId="5" fillId="10" borderId="9" xfId="2" applyFont="1" applyFill="1" applyBorder="1" applyAlignment="1">
      <alignment horizontal="center"/>
    </xf>
    <xf numFmtId="8" fontId="5" fillId="10" borderId="7" xfId="0" applyNumberFormat="1" applyFont="1" applyFill="1" applyBorder="1" applyAlignment="1">
      <alignment horizontal="center"/>
    </xf>
    <xf numFmtId="8" fontId="5" fillId="10" borderId="8" xfId="0" applyNumberFormat="1" applyFont="1" applyFill="1" applyBorder="1" applyAlignment="1">
      <alignment horizontal="center"/>
    </xf>
    <xf numFmtId="8" fontId="5" fillId="10" borderId="9" xfId="0" applyNumberFormat="1" applyFont="1" applyFill="1" applyBorder="1" applyAlignment="1">
      <alignment horizontal="center"/>
    </xf>
    <xf numFmtId="0" fontId="0" fillId="23" borderId="0" xfId="0" applyFill="1" applyAlignment="1">
      <alignment horizontal="center"/>
    </xf>
    <xf numFmtId="0" fontId="0" fillId="17" borderId="5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76" xfId="0" applyFill="1" applyBorder="1" applyAlignment="1">
      <alignment horizontal="right"/>
    </xf>
    <xf numFmtId="0" fontId="0" fillId="6" borderId="77" xfId="0" applyFill="1" applyBorder="1" applyAlignment="1">
      <alignment horizontal="right"/>
    </xf>
    <xf numFmtId="0" fontId="0" fillId="7" borderId="73" xfId="0" applyFill="1" applyBorder="1" applyAlignment="1">
      <alignment horizontal="right"/>
    </xf>
    <xf numFmtId="0" fontId="0" fillId="7" borderId="74" xfId="0" applyFill="1" applyBorder="1" applyAlignment="1">
      <alignment horizontal="right"/>
    </xf>
    <xf numFmtId="0" fontId="32" fillId="0" borderId="0" xfId="0" applyFont="1" applyAlignment="1">
      <alignment horizontal="left" wrapText="1"/>
    </xf>
    <xf numFmtId="0" fontId="32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2" borderId="5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4" fillId="25" borderId="84" xfId="0" applyFont="1" applyFill="1" applyBorder="1" applyAlignment="1">
      <alignment horizontal="center" vertical="center"/>
    </xf>
    <xf numFmtId="0" fontId="4" fillId="25" borderId="0" xfId="0" applyFont="1" applyFill="1" applyAlignment="1">
      <alignment horizontal="center" vertical="center"/>
    </xf>
    <xf numFmtId="0" fontId="0" fillId="2" borderId="81" xfId="0" applyFill="1" applyBorder="1" applyAlignment="1">
      <alignment horizontal="center"/>
    </xf>
    <xf numFmtId="0" fontId="0" fillId="2" borderId="82" xfId="0" applyFill="1" applyBorder="1" applyAlignment="1">
      <alignment horizontal="center"/>
    </xf>
    <xf numFmtId="0" fontId="0" fillId="2" borderId="83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24" fillId="0" borderId="0" xfId="4" applyFont="1" applyAlignment="1">
      <alignment horizontal="center"/>
    </xf>
    <xf numFmtId="0" fontId="1" fillId="0" borderId="0" xfId="4"/>
    <xf numFmtId="0" fontId="25" fillId="18" borderId="23" xfId="4" applyFont="1" applyFill="1" applyBorder="1" applyAlignment="1">
      <alignment horizontal="center"/>
    </xf>
    <xf numFmtId="0" fontId="38" fillId="19" borderId="24" xfId="4" applyFont="1" applyFill="1" applyBorder="1"/>
    <xf numFmtId="0" fontId="38" fillId="19" borderId="25" xfId="4" applyFont="1" applyFill="1" applyBorder="1"/>
    <xf numFmtId="0" fontId="38" fillId="0" borderId="24" xfId="4" applyFont="1" applyBorder="1"/>
    <xf numFmtId="0" fontId="38" fillId="0" borderId="25" xfId="4" applyFont="1" applyBorder="1"/>
    <xf numFmtId="0" fontId="23" fillId="21" borderId="23" xfId="4" applyFont="1" applyFill="1" applyBorder="1" applyAlignment="1">
      <alignment horizontal="center"/>
    </xf>
    <xf numFmtId="0" fontId="26" fillId="21" borderId="24" xfId="4" applyFont="1" applyFill="1" applyBorder="1"/>
    <xf numFmtId="0" fontId="26" fillId="21" borderId="25" xfId="4" applyFont="1" applyFill="1" applyBorder="1"/>
    <xf numFmtId="0" fontId="23" fillId="20" borderId="23" xfId="4" applyFont="1" applyFill="1" applyBorder="1" applyAlignment="1">
      <alignment horizontal="center"/>
    </xf>
    <xf numFmtId="0" fontId="26" fillId="0" borderId="24" xfId="4" applyFont="1" applyBorder="1"/>
    <xf numFmtId="0" fontId="26" fillId="0" borderId="25" xfId="4" applyFont="1" applyBorder="1"/>
    <xf numFmtId="0" fontId="25" fillId="20" borderId="23" xfId="4" applyFont="1" applyFill="1" applyBorder="1" applyAlignment="1">
      <alignment horizontal="center"/>
    </xf>
  </cellXfs>
  <cellStyles count="6">
    <cellStyle name="Millares" xfId="1" builtinId="3"/>
    <cellStyle name="Moneda" xfId="2" builtinId="4"/>
    <cellStyle name="Normal" xfId="0" builtinId="0"/>
    <cellStyle name="Normal 2" xfId="4" xr:uid="{F52910F9-B778-40A4-9A04-D895B8AE45D6}"/>
    <cellStyle name="Normal 3" xfId="5" xr:uid="{6290BD7F-CAA7-4626-889C-3441714549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128586</xdr:colOff>
      <xdr:row>551</xdr:row>
      <xdr:rowOff>28575</xdr:rowOff>
    </xdr:from>
    <xdr:to>
      <xdr:col>21</xdr:col>
      <xdr:colOff>492405</xdr:colOff>
      <xdr:row>566</xdr:row>
      <xdr:rowOff>142736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2CD081-AE3B-4535-AC36-A2CFD59C00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71" t="30701" r="14803" b="23357"/>
        <a:stretch>
          <a:fillRect/>
        </a:stretch>
      </xdr:blipFill>
      <xdr:spPr>
        <a:xfrm>
          <a:off x="12201524" y="8205788"/>
          <a:ext cx="6998217" cy="2886075"/>
        </a:xfrm>
        <a:prstGeom prst="rect">
          <a:avLst/>
        </a:prstGeom>
      </xdr:spPr>
    </xdr:pic>
    <xdr:clientData/>
  </xdr:twoCellAnchor>
  <xdr:oneCellAnchor>
    <xdr:from>
      <xdr:col>13</xdr:col>
      <xdr:colOff>128586</xdr:colOff>
      <xdr:row>634</xdr:row>
      <xdr:rowOff>28575</xdr:rowOff>
    </xdr:from>
    <xdr:ext cx="6998313" cy="2858492"/>
    <xdr:pic>
      <xdr:nvPicPr>
        <xdr:cNvPr id="3" name="Imagen 2">
          <a:extLst>
            <a:ext uri="{FF2B5EF4-FFF2-40B4-BE49-F238E27FC236}">
              <a16:creationId xmlns:a16="http://schemas.microsoft.com/office/drawing/2014/main" id="{18228E6E-C29B-42DB-B2C2-DAD6B7DB7B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71" t="30701" r="14803" b="23357"/>
        <a:stretch>
          <a:fillRect/>
        </a:stretch>
      </xdr:blipFill>
      <xdr:spPr>
        <a:xfrm>
          <a:off x="12190442" y="70716335"/>
          <a:ext cx="6998313" cy="28584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0.203\F3%20mobileasing\User\Angeles\Formatos\New%20folder\ModeloUrban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192.168.0.203/F3%20mobileasing/User/Angeles/Formatos/New%20folder/ModeloUrbano.xlsx" TargetMode="External"/><Relationship Id="rId1" Type="http://schemas.openxmlformats.org/officeDocument/2006/relationships/externalLinkPath" Target="/192.168.0.203/F3%20mobileasing/User/Angeles/Formatos/New%20folder/ModeloUrbano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Proveedores/Francisco%20Cotizador%20Espinoza%20Hernandez/Modelo/parametrizacion%20modelo%20v3%20entrega.xlsx" TargetMode="External"/><Relationship Id="rId2" Type="http://schemas.openxmlformats.org/officeDocument/2006/relationships/externalLinkPath" Target="file:///G:\Mi%20unidad\proyectos\Emprendimientos\ORL%20Leasing\modelo%20de%20credito\parametrizacion%20modelo%20v3%20entrega.xlsx" TargetMode="External"/><Relationship Id="rId1" Type="http://schemas.openxmlformats.org/officeDocument/2006/relationships/externalLinkPath" Target="/personal/ggeneral_oautos_com_mx/Documents/1.%20FRANCO/Proveedores/Francisco%20Cotizador%20Espinoza%20Hernandez/Modelo/parametrizacion%20modelo%20v3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d."/>
      <sheetName val="Parametros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nd."/>
      <sheetName val="Parametros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metros Reglas KO"/>
      <sheetName val="Parametros modelo"/>
      <sheetName val="Visualizacion Param Matrices"/>
      <sheetName val="Parametros Rangos"/>
      <sheetName val="Param. de salida con formulas"/>
      <sheetName val="Parametros de salida"/>
      <sheetName val="glosario parametro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>
            <v>7</v>
          </cell>
          <cell r="K2">
            <v>15</v>
          </cell>
          <cell r="L2">
            <v>23</v>
          </cell>
          <cell r="M2">
            <v>31</v>
          </cell>
          <cell r="P2">
            <v>32</v>
          </cell>
          <cell r="Q2">
            <v>24</v>
          </cell>
          <cell r="R2">
            <v>16</v>
          </cell>
          <cell r="S2">
            <v>8</v>
          </cell>
          <cell r="T2">
            <v>0</v>
          </cell>
          <cell r="V2">
            <v>0</v>
          </cell>
          <cell r="W2">
            <v>8</v>
          </cell>
          <cell r="X2">
            <v>16</v>
          </cell>
          <cell r="Y2">
            <v>24</v>
          </cell>
        </row>
        <row r="3">
          <cell r="J3">
            <v>6</v>
          </cell>
          <cell r="K3">
            <v>14</v>
          </cell>
          <cell r="L3">
            <v>22</v>
          </cell>
          <cell r="M3">
            <v>30</v>
          </cell>
          <cell r="P3">
            <v>33</v>
          </cell>
          <cell r="Q3">
            <v>25</v>
          </cell>
          <cell r="R3">
            <v>17</v>
          </cell>
          <cell r="S3">
            <v>9</v>
          </cell>
          <cell r="T3">
            <v>1</v>
          </cell>
          <cell r="V3">
            <v>1</v>
          </cell>
          <cell r="W3">
            <v>9</v>
          </cell>
          <cell r="X3">
            <v>17</v>
          </cell>
          <cell r="Y3">
            <v>25</v>
          </cell>
        </row>
        <row r="4">
          <cell r="J4">
            <v>5</v>
          </cell>
          <cell r="K4">
            <v>13</v>
          </cell>
          <cell r="L4">
            <v>21</v>
          </cell>
          <cell r="M4">
            <v>29</v>
          </cell>
          <cell r="P4">
            <v>34</v>
          </cell>
          <cell r="Q4">
            <v>26</v>
          </cell>
          <cell r="R4">
            <v>18</v>
          </cell>
          <cell r="S4">
            <v>10</v>
          </cell>
          <cell r="T4">
            <v>2</v>
          </cell>
          <cell r="V4">
            <v>2</v>
          </cell>
          <cell r="W4">
            <v>10</v>
          </cell>
          <cell r="X4">
            <v>18</v>
          </cell>
          <cell r="Y4">
            <v>26</v>
          </cell>
        </row>
        <row r="5">
          <cell r="J5">
            <v>4</v>
          </cell>
          <cell r="K5">
            <v>12</v>
          </cell>
          <cell r="L5">
            <v>20</v>
          </cell>
          <cell r="M5">
            <v>28</v>
          </cell>
          <cell r="P5">
            <v>35</v>
          </cell>
          <cell r="Q5">
            <v>27</v>
          </cell>
          <cell r="R5">
            <v>19</v>
          </cell>
          <cell r="S5">
            <v>11</v>
          </cell>
          <cell r="T5">
            <v>3</v>
          </cell>
          <cell r="V5">
            <v>3</v>
          </cell>
          <cell r="W5">
            <v>11</v>
          </cell>
          <cell r="X5">
            <v>19</v>
          </cell>
          <cell r="Y5">
            <v>27</v>
          </cell>
        </row>
        <row r="6">
          <cell r="J6">
            <v>3</v>
          </cell>
          <cell r="K6">
            <v>11</v>
          </cell>
          <cell r="L6">
            <v>19</v>
          </cell>
          <cell r="M6">
            <v>27</v>
          </cell>
          <cell r="P6">
            <v>36</v>
          </cell>
          <cell r="Q6">
            <v>28</v>
          </cell>
          <cell r="R6">
            <v>20</v>
          </cell>
          <cell r="S6">
            <v>12</v>
          </cell>
          <cell r="T6">
            <v>4</v>
          </cell>
          <cell r="V6">
            <v>4</v>
          </cell>
          <cell r="W6">
            <v>12</v>
          </cell>
          <cell r="X6">
            <v>20</v>
          </cell>
          <cell r="Y6">
            <v>28</v>
          </cell>
        </row>
        <row r="7">
          <cell r="J7">
            <v>2</v>
          </cell>
          <cell r="K7">
            <v>10</v>
          </cell>
          <cell r="L7">
            <v>18</v>
          </cell>
          <cell r="M7">
            <v>26</v>
          </cell>
          <cell r="P7">
            <v>37</v>
          </cell>
          <cell r="Q7">
            <v>29</v>
          </cell>
          <cell r="R7">
            <v>21</v>
          </cell>
          <cell r="S7">
            <v>13</v>
          </cell>
          <cell r="T7">
            <v>5</v>
          </cell>
          <cell r="V7">
            <v>5</v>
          </cell>
          <cell r="W7">
            <v>13</v>
          </cell>
          <cell r="X7">
            <v>21</v>
          </cell>
          <cell r="Y7">
            <v>29</v>
          </cell>
        </row>
        <row r="8">
          <cell r="J8">
            <v>1</v>
          </cell>
          <cell r="K8">
            <v>9</v>
          </cell>
          <cell r="L8">
            <v>17</v>
          </cell>
          <cell r="M8">
            <v>25</v>
          </cell>
          <cell r="P8">
            <v>38</v>
          </cell>
          <cell r="Q8">
            <v>30</v>
          </cell>
          <cell r="R8">
            <v>22</v>
          </cell>
          <cell r="S8">
            <v>14</v>
          </cell>
          <cell r="T8">
            <v>6</v>
          </cell>
          <cell r="V8">
            <v>6</v>
          </cell>
          <cell r="W8">
            <v>14</v>
          </cell>
          <cell r="X8">
            <v>22</v>
          </cell>
          <cell r="Y8">
            <v>30</v>
          </cell>
        </row>
        <row r="9">
          <cell r="J9">
            <v>0</v>
          </cell>
          <cell r="K9">
            <v>8</v>
          </cell>
          <cell r="L9">
            <v>16</v>
          </cell>
          <cell r="M9">
            <v>24</v>
          </cell>
          <cell r="P9">
            <v>39</v>
          </cell>
          <cell r="Q9">
            <v>31</v>
          </cell>
          <cell r="R9">
            <v>23</v>
          </cell>
          <cell r="S9">
            <v>15</v>
          </cell>
          <cell r="T9">
            <v>7</v>
          </cell>
          <cell r="V9">
            <v>7</v>
          </cell>
          <cell r="W9">
            <v>15</v>
          </cell>
          <cell r="X9">
            <v>23</v>
          </cell>
          <cell r="Y9">
            <v>31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ranco C." id="{E31153D5-4C36-4CCF-A8DE-C2506D81BB15}" userId="S::ggeneral@oautos.com.mx::9b04bc30-1e7c-412a-8a3b-e423a2c2c544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8" dT="2026-07-06T22:56:40.73" personId="{E31153D5-4C36-4CCF-A8DE-C2506D81BB15}" id="{A0A0B6AF-DC13-4496-A593-EF0E275E9C17}">
    <text xml:space="preserve">Liquidez Reciente Ponderada </text>
  </threadedComment>
  <threadedComment ref="E82" dT="2026-07-06T22:56:40.73" personId="{E31153D5-4C36-4CCF-A8DE-C2506D81BB15}" id="{9346C1C6-811E-451C-A929-1F09B3C71DC0}">
    <text xml:space="preserve">Liquidez Reciente Ponderada </text>
  </threadedComment>
  <threadedComment ref="E146" dT="2026-07-06T22:56:40.73" personId="{E31153D5-4C36-4CCF-A8DE-C2506D81BB15}" id="{7C303B9B-A487-4C7E-B4E6-10AA69EBF168}">
    <text xml:space="preserve">Liquidez Reciente Ponderada </text>
  </threadedComment>
  <threadedComment ref="E210" dT="2026-07-06T22:56:40.73" personId="{E31153D5-4C36-4CCF-A8DE-C2506D81BB15}" id="{37EE3F43-79D2-4351-8E60-4392818845A8}">
    <text xml:space="preserve">Liquidez Reciente Ponderada </text>
  </threadedComment>
  <threadedComment ref="E274" dT="2026-07-06T22:56:40.73" personId="{E31153D5-4C36-4CCF-A8DE-C2506D81BB15}" id="{7CC96F3C-BA6C-4834-90CA-62E1EDC3B7D6}">
    <text xml:space="preserve">Liquidez Reciente Ponderada </text>
  </threadedComment>
  <threadedComment ref="E338" dT="2026-07-06T22:56:40.73" personId="{E31153D5-4C36-4CCF-A8DE-C2506D81BB15}" id="{E06D4C32-C2C4-4C8E-8CF4-9C929FE75C45}">
    <text xml:space="preserve">Liquidez Reciente Ponderada </text>
  </threadedComment>
  <threadedComment ref="E538" dT="2026-07-06T22:56:40.73" personId="{E31153D5-4C36-4CCF-A8DE-C2506D81BB15}" id="{2EBDACE2-8451-4074-99BC-2581B10EC9EB}">
    <text xml:space="preserve">Liquidez Reciente Ponderada </text>
  </threadedComment>
  <threadedComment ref="E603" dT="2026-07-06T22:56:40.73" personId="{E31153D5-4C36-4CCF-A8DE-C2506D81BB15}" id="{62C4D66F-F3DF-4E3A-BD08-B651325F99CD}">
    <text xml:space="preserve">Liquidez Reciente Ponderada </text>
  </threadedComment>
  <threadedComment ref="E667" dT="2026-07-06T22:56:40.73" personId="{E31153D5-4C36-4CCF-A8DE-C2506D81BB15}" id="{65EF0368-53A6-45F1-B80F-9F3DC34533B0}">
    <text xml:space="preserve">Liquidez Reciente Ponderada </text>
  </threadedComment>
  <threadedComment ref="E732" dT="2026-07-06T22:56:40.73" personId="{E31153D5-4C36-4CCF-A8DE-C2506D81BB15}" id="{FEF2ACD5-3278-4925-857B-2357406DA31E}">
    <text xml:space="preserve">Liquidez Reciente Ponderada </text>
  </threadedComment>
  <threadedComment ref="E796" dT="2026-07-06T22:56:40.73" personId="{E31153D5-4C36-4CCF-A8DE-C2506D81BB15}" id="{2CCDCC93-4BC5-4265-A517-854F493669E7}">
    <text xml:space="preserve">Liquidez Reciente Ponderada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1" dT="2026-04-21T20:20:52.28" personId="{E31153D5-4C36-4CCF-A8DE-C2506D81BB15}" id="{F89806EA-BF23-40BB-A8DB-10603928FFFD}">
    <text>Se incluyo (B69+1.5) etc para cada rango</text>
  </threadedComment>
  <threadedComment ref="F13" dT="2026-04-21T23:37:05.44" personId="{E31153D5-4C36-4CCF-A8DE-C2506D81BB15}" id="{595C473A-9986-45FC-B382-FDEC7C0528C6}" done="1">
    <text xml:space="preserve">Modifique el rango
</text>
  </threadedComment>
  <threadedComment ref="F14" dT="2026-04-22T00:08:50.05" personId="{E31153D5-4C36-4CCF-A8DE-C2506D81BB15}" id="{C900CE89-C546-412B-B3E6-FA4D205C49C5}">
    <text>Modifique los rangos</text>
  </threadedComment>
  <threadedComment ref="J16" dT="2026-07-27T18:57:22.25" personId="{E31153D5-4C36-4CCF-A8DE-C2506D81BB15}" id="{78C0C1AB-2119-445A-85FC-FD1CB7E5F393}">
    <text xml:space="preserve">Se esta considerando doble la concentración de clientes. El score final varia poco ya que su porcentaje del total es muy bajo. </text>
  </threadedComment>
  <threadedComment ref="F95" dT="2026-04-21T20:20:52.28" personId="{E31153D5-4C36-4CCF-A8DE-C2506D81BB15}" id="{19AACC22-7F5F-424D-8B7A-381F12DF64D6}">
    <text>Se incluyo (B69+1.5) etc para cada rango</text>
  </threadedComment>
  <threadedComment ref="F97" dT="2026-04-21T23:37:05.44" personId="{E31153D5-4C36-4CCF-A8DE-C2506D81BB15}" id="{5AC8D7A9-3465-4942-9184-04BEEE3FE878}" done="1">
    <text xml:space="preserve">Modifique el rango
</text>
  </threadedComment>
  <threadedComment ref="F98" dT="2026-04-22T00:08:50.05" personId="{E31153D5-4C36-4CCF-A8DE-C2506D81BB15}" id="{BBDD3EC2-E9A0-4E10-995D-F4E3FB7FE2C6}">
    <text>Modifique los rangos</text>
  </threadedComment>
  <threadedComment ref="J100" dT="2026-07-27T18:57:22.25" personId="{E31153D5-4C36-4CCF-A8DE-C2506D81BB15}" id="{A713D4F0-F5AC-4A1D-81E3-609A5074FCA8}">
    <text xml:space="preserve">Se esta considerando doble la concentración de clientes. El score final varia poco ya que su porcentaje del total es muy bajo. </text>
  </threadedComment>
  <threadedComment ref="F180" dT="2026-04-21T20:20:52.28" personId="{E31153D5-4C36-4CCF-A8DE-C2506D81BB15}" id="{D1C5D1F7-35BC-4AEB-B807-0EAFF63B4608}">
    <text>Se incluyo (B69+1.5) etc para cada rango</text>
  </threadedComment>
  <threadedComment ref="F182" dT="2026-04-21T23:37:05.44" personId="{E31153D5-4C36-4CCF-A8DE-C2506D81BB15}" id="{5F56FAE1-C25D-4E81-87B2-1B81BAE1D03D}" done="1">
    <text xml:space="preserve">Modifique el rango
</text>
  </threadedComment>
  <threadedComment ref="F183" dT="2026-04-22T00:08:50.05" personId="{E31153D5-4C36-4CCF-A8DE-C2506D81BB15}" id="{87AD77FC-0E96-4C46-8632-9A3CA4FDF0B8}">
    <text>Modifique los rangos</text>
  </threadedComment>
  <threadedComment ref="J185" dT="2026-07-27T18:57:22.25" personId="{E31153D5-4C36-4CCF-A8DE-C2506D81BB15}" id="{EDCF5DBE-4B60-4EFB-99DB-D4BA3F7727E8}">
    <text xml:space="preserve">Se esta considerando doble la concentración de clientes. El score final varia poco ya que su porcentaje del total es muy bajo. </text>
  </threadedComment>
  <threadedComment ref="F265" dT="2026-04-21T20:20:52.28" personId="{E31153D5-4C36-4CCF-A8DE-C2506D81BB15}" id="{26F5027D-6CBB-41F2-82F0-C416AD115513}">
    <text>Se incluyo (B69+1.5) etc para cada rango</text>
  </threadedComment>
  <threadedComment ref="F267" dT="2026-04-21T23:37:05.44" personId="{E31153D5-4C36-4CCF-A8DE-C2506D81BB15}" id="{8CE72500-6D4D-41CD-85D7-426C12CED51C}" done="1">
    <text xml:space="preserve">Modifique el rango
</text>
  </threadedComment>
  <threadedComment ref="F268" dT="2026-04-22T00:08:50.05" personId="{E31153D5-4C36-4CCF-A8DE-C2506D81BB15}" id="{C5031A88-61BF-4FE0-800F-603545EFCAC1}">
    <text>Modifique los rangos</text>
  </threadedComment>
  <threadedComment ref="J270" dT="2026-07-27T18:57:22.25" personId="{E31153D5-4C36-4CCF-A8DE-C2506D81BB15}" id="{4883F70A-D746-4798-88E0-CE77CCD71554}">
    <text xml:space="preserve">Se esta considerando doble la concentración de clientes. El score final varia poco ya que su porcentaje del total es muy bajo. </text>
  </threadedComment>
  <threadedComment ref="F349" dT="2026-04-21T20:20:52.28" personId="{E31153D5-4C36-4CCF-A8DE-C2506D81BB15}" id="{E2408D36-F462-472E-8267-B06BD6B0FD1B}">
    <text>Se incluyo (B69+1.5) etc para cada rango</text>
  </threadedComment>
  <threadedComment ref="F351" dT="2026-04-21T23:37:05.44" personId="{E31153D5-4C36-4CCF-A8DE-C2506D81BB15}" id="{4CE1C101-1DFD-45F0-90A1-A442CA62172B}" done="1">
    <text xml:space="preserve">Modifique el rango
</text>
  </threadedComment>
  <threadedComment ref="F352" dT="2026-04-22T00:08:50.05" personId="{E31153D5-4C36-4CCF-A8DE-C2506D81BB15}" id="{30FBE36A-AED5-43E3-B7DD-3B80F5093F6C}">
    <text>Modifique los rangos</text>
  </threadedComment>
  <threadedComment ref="F434" dT="2026-04-21T20:20:52.28" personId="{E31153D5-4C36-4CCF-A8DE-C2506D81BB15}" id="{3C2F3568-4188-4048-AF50-6CF9DF2BA2B8}">
    <text>Se incluyo (B69+1.5) etc para cada rango</text>
  </threadedComment>
  <threadedComment ref="F436" dT="2026-04-21T23:37:05.44" personId="{E31153D5-4C36-4CCF-A8DE-C2506D81BB15}" id="{0C211416-AA1B-420E-8D4D-0F43CA0F07C8}" done="1">
    <text xml:space="preserve">Modifique el rango
</text>
  </threadedComment>
  <threadedComment ref="F437" dT="2026-04-22T00:08:50.05" personId="{E31153D5-4C36-4CCF-A8DE-C2506D81BB15}" id="{609F12C5-6DE3-4C3E-A848-7C4AE39D28E7}">
    <text>Modifique los rangos</text>
  </threadedComment>
  <threadedComment ref="F519" dT="2026-04-21T20:20:52.28" personId="{E31153D5-4C36-4CCF-A8DE-C2506D81BB15}" id="{0B2792C7-06EE-442A-8BB1-67BEA3269F93}">
    <text>Se incluyo (B69+1.5) etc para cada rango</text>
  </threadedComment>
  <threadedComment ref="F521" dT="2026-04-21T23:37:05.44" personId="{E31153D5-4C36-4CCF-A8DE-C2506D81BB15}" id="{6714FD70-4629-46FD-83D3-76DA5C5CA1DC}" done="1">
    <text xml:space="preserve">Modifique el rango
</text>
  </threadedComment>
  <threadedComment ref="J521" dT="2026-04-22T00:04:10.69" personId="{E31153D5-4C36-4CCF-A8DE-C2506D81BB15}" id="{671557C1-3E89-48D2-BF40-EC7FA1901640}">
    <text xml:space="preserve">Se modificó el rango </text>
  </threadedComment>
  <threadedComment ref="F522" dT="2026-04-22T00:08:50.05" personId="{E31153D5-4C36-4CCF-A8DE-C2506D81BB15}" id="{4B961F56-3B7A-432E-86A6-343520F25C93}">
    <text>Modifique los rangos</text>
  </threadedComment>
  <threadedComment ref="B524" dT="2026-05-11T17:49:50.23" personId="{E31153D5-4C36-4CCF-A8DE-C2506D81BB15}" id="{45B692C3-0FD1-4367-A044-9035CC72B8AE}">
    <text xml:space="preserve">Se modificaron pesos
</text>
  </threadedComment>
  <threadedComment ref="I524" dT="2026-07-24T19:57:45.72" personId="{E31153D5-4C36-4CCF-A8DE-C2506D81BB15}" id="{A65140D4-5B90-43F7-9F6E-1687EF300C34}">
    <text>Estamos duplicando HHI y Cliente Mayor</text>
  </threadedComment>
  <threadedComment ref="N524" dT="2026-04-22T03:27:45.31" personId="{E31153D5-4C36-4CCF-A8DE-C2506D81BB15}" id="{32F2B153-1479-4719-A7B8-2B0F8C121918}">
    <text xml:space="preserve">Modifique los rangos
</text>
  </threadedComment>
  <threadedComment ref="N525" dT="2026-05-11T18:12:40.18" personId="{E31153D5-4C36-4CCF-A8DE-C2506D81BB15}" id="{6BF5A339-0DB4-43C3-8F7E-6DBDF42B613C}">
    <text xml:space="preserve">Cambio el Peso porque se quito la variable Activo Vs Ventas y se paso a Capacidad de pago. </text>
  </threadedComment>
  <threadedComment ref="F526" dT="2026-05-11T18:57:47.95" personId="{E31153D5-4C36-4CCF-A8DE-C2506D81BB15}" id="{2BD663F4-700A-4E54-BD11-474930C7569C}" done="1">
    <text>El buro score de empresas se mide hasta 400 . Por eso se modificaron los rangos</text>
  </threadedComment>
  <threadedComment ref="E527" dT="2026-05-11T18:11:19.71" personId="{E31153D5-4C36-4CCF-A8DE-C2506D81BB15}" id="{19B18066-C3E1-4080-92CF-1F12BACE6615}" done="1">
    <text xml:space="preserve">Se cambio el nombre
</text>
  </threadedComment>
  <threadedComment ref="F527" dT="2026-04-21T21:03:01.48" personId="{E31153D5-4C36-4CCF-A8DE-C2506D81BB15}" id="{ACFC9013-C1AA-49AD-A65F-B5DF53F8961F}" done="1">
    <text xml:space="preserve">Se ajustaron los rangos
</text>
  </threadedComment>
  <threadedComment ref="D540" dT="2026-04-21T21:03:15.49" personId="{E31153D5-4C36-4CCF-A8DE-C2506D81BB15}" id="{C74B2DFB-0842-4A15-86FB-8C1AC0CC5725}">
    <text xml:space="preserve">Se ajjusaron los rangos
</text>
  </threadedComment>
  <threadedComment ref="I540" dT="2026-04-21T22:10:16.52" personId="{E31153D5-4C36-4CCF-A8DE-C2506D81BB15}" id="{C18D3657-7438-475A-9EFF-598920F41822}">
    <text xml:space="preserve">Modifique la explicación, se incluyo al inicio &lt;1 muy sano
</text>
  </threadedComment>
  <threadedComment ref="A542" dT="2026-04-21T22:42:09.35" personId="{E31153D5-4C36-4CCF-A8DE-C2506D81BB15}" id="{9A072A8E-E1D3-4011-BBB0-60C1E4149921}">
    <text xml:space="preserve">Formula corregida </text>
  </threadedComment>
  <threadedComment ref="A543" dT="2026-04-21T22:57:49.30" personId="{E31153D5-4C36-4CCF-A8DE-C2506D81BB15}" id="{58B87A3D-3C73-42B1-A359-0D321C4892C4}">
    <text>No lo veo en el backoffice</text>
  </threadedComment>
  <threadedComment ref="B544" dT="2026-04-21T23:02:59.89" personId="{E31153D5-4C36-4CCF-A8DE-C2506D81BB15}" id="{E1DDA609-486F-44D8-A95E-2A36693F9259}" done="1">
    <text>Este no aparece en el backoffice y es mas riguroso que el de abajo Coeficiente ventas. Lo vamos a meter en lugar del Coeficiente Ventas</text>
  </threadedComment>
  <threadedComment ref="B545" dT="2026-04-21T17:59:46.90" personId="{E31153D5-4C36-4CCF-A8DE-C2506D81BB15}" id="{47743C05-8EBC-431F-9B60-ACDFF00DF39A}">
    <text xml:space="preserve">Mismo caso que en Margen de ventas. Revisar formula
</text>
  </threadedComment>
  <threadedComment ref="A548" dT="2026-04-22T00:12:35.04" personId="{E31153D5-4C36-4CCF-A8DE-C2506D81BB15}" id="{AE836BDB-2814-4975-8343-D13CC6D493FD}" done="1">
    <text xml:space="preserve">Este si aparece en el backoffice pero lo vamos a sustituir por el Coeficiente Flujo </text>
  </threadedComment>
  <threadedComment ref="A567" dT="2026-04-21T18:51:48.08" personId="{E31153D5-4C36-4CCF-A8DE-C2506D81BB15}" id="{ECCC5A4E-8B62-4135-BEBA-64E7F093D3C7}">
    <text>Se añade al concepto “con accesorios” y a la formula hay que incluir el monto de accesorios y la comision por apertura</text>
  </threadedComment>
  <threadedComment ref="A572" dT="2026-04-21T18:53:24.47" personId="{E31153D5-4C36-4CCF-A8DE-C2506D81BB15}" id="{DF02946D-777A-4323-BBA9-316C456C05F2}">
    <text xml:space="preserve">No veo esta variable. La dejamos en las configuraciones. Con los parámetros de políticas </text>
  </threadedComment>
  <threadedComment ref="A573" dT="2026-04-21T18:25:37.94" personId="{E31153D5-4C36-4CCF-A8DE-C2506D81BB15}" id="{1D989027-ACD7-4F2E-A34F-6F3BE3AE3F96}">
    <text xml:space="preserve">Hay que incluir en el concepto SIN IVA
</text>
  </threadedComment>
  <threadedComment ref="D575" dT="2026-04-21T19:49:30.73" personId="{E31153D5-4C36-4CCF-A8DE-C2506D81BB15}" id="{3E4840D3-DA11-4D48-856F-4D540D5897C0}">
    <text>Solo incluí “veces el DSCR por política”</text>
  </threadedComment>
  <threadedComment ref="B578" dT="2026-04-21T19:02:47.59" personId="{E31153D5-4C36-4CCF-A8DE-C2506D81BB15}" id="{39583F6C-4020-4C74-8574-1EF0FCD7B5F5}">
    <text xml:space="preserve">Este resultado debe de tomar el Precio del activo mas los accesorios. Y ajuste el semáforo ya que no ofrecemos maquinaria y tener un auto con un ratio tan alto sobre ventas no hace sentido. </text>
  </threadedComment>
  <threadedComment ref="C578" dT="2026-04-22T00:04:28.89" personId="{E31153D5-4C36-4CCF-A8DE-C2506D81BB15}" id="{1F02465C-C54D-40EB-BC0C-2C96A8799C62}">
    <text xml:space="preserve">Se modifico el rango
</text>
  </threadedComment>
  <threadedComment ref="C579" dT="2026-04-21T19:38:35.18" personId="{E31153D5-4C36-4CCF-A8DE-C2506D81BB15}" id="{E6AE36B3-E876-4713-8939-B7691E6A8E94}">
    <text xml:space="preserve">Ajuste los parametros
</text>
  </threadedComment>
  <threadedComment ref="F602" dT="2026-04-21T20:20:52.28" personId="{E31153D5-4C36-4CCF-A8DE-C2506D81BB15}" id="{5FB3B516-3565-4968-8FF0-0F2EA177BEA0}">
    <text>Se incluyo (B69+1.5) etc para cada rango</text>
  </threadedComment>
  <threadedComment ref="F604" dT="2026-04-21T23:37:05.44" personId="{E31153D5-4C36-4CCF-A8DE-C2506D81BB15}" id="{37A5C1E7-91D1-4432-885D-C96F76FC5697}" done="1">
    <text xml:space="preserve">Modifique el rango
</text>
  </threadedComment>
  <threadedComment ref="J604" dT="2026-04-22T00:04:10.69" personId="{E31153D5-4C36-4CCF-A8DE-C2506D81BB15}" id="{F26B124E-A7CE-4A77-A75B-9B3F35077644}">
    <text xml:space="preserve">Se modificó el rango </text>
  </threadedComment>
  <threadedComment ref="F605" dT="2026-04-22T00:08:50.05" personId="{E31153D5-4C36-4CCF-A8DE-C2506D81BB15}" id="{61293818-2577-47C6-8034-79F99746C380}">
    <text>Modifique los rangos</text>
  </threadedComment>
  <threadedComment ref="B607" dT="2026-05-11T17:49:50.23" personId="{E31153D5-4C36-4CCF-A8DE-C2506D81BB15}" id="{16975C2C-72DB-4858-95B3-A7776B422BF6}">
    <text xml:space="preserve">Se modificaron pesos
</text>
  </threadedComment>
  <threadedComment ref="I607" dT="2026-07-24T19:57:45.72" personId="{E31153D5-4C36-4CCF-A8DE-C2506D81BB15}" id="{BCBA314B-0EE4-48CE-B705-A121065D6163}">
    <text>Estamos duplicando HHI y Cliente Mayor</text>
  </threadedComment>
  <threadedComment ref="F609" dT="2026-05-11T18:57:47.95" personId="{E31153D5-4C36-4CCF-A8DE-C2506D81BB15}" id="{D7B9F17D-21A3-4E63-8532-76F993E9FE38}" done="1">
    <text>El buro score de empresas se mide hasta 400 . Por eso se modificaron los rangos</text>
  </threadedComment>
  <threadedComment ref="E610" dT="2026-05-11T18:11:19.71" personId="{E31153D5-4C36-4CCF-A8DE-C2506D81BB15}" id="{6AFF31E1-8C7C-4707-953F-41DF37005D10}" done="1">
    <text xml:space="preserve">Se cambio el nombre
</text>
  </threadedComment>
  <threadedComment ref="F610" dT="2026-04-21T21:03:01.48" personId="{E31153D5-4C36-4CCF-A8DE-C2506D81BB15}" id="{1F8F249A-E5ED-4E9B-A3BD-D01E1000ADDE}" done="1">
    <text xml:space="preserve">Se ajustaron los rangos
</text>
  </threadedComment>
  <threadedComment ref="D623" dT="2026-04-21T21:03:15.49" personId="{E31153D5-4C36-4CCF-A8DE-C2506D81BB15}" id="{A1FB3B8A-69AE-43D5-8857-A363631B0079}">
    <text xml:space="preserve">Se ajjusaron los rangos
</text>
  </threadedComment>
  <threadedComment ref="I623" dT="2026-04-21T22:10:16.52" personId="{E31153D5-4C36-4CCF-A8DE-C2506D81BB15}" id="{A42FFB28-6BC7-4BCB-B0D8-82158ACC662B}">
    <text xml:space="preserve">Modifique la explicación, se incluyo al inicio &lt;1 muy sano
</text>
  </threadedComment>
  <threadedComment ref="A625" dT="2026-04-21T22:42:09.35" personId="{E31153D5-4C36-4CCF-A8DE-C2506D81BB15}" id="{7C9DB66A-4C20-4E5C-B355-6E31797315A4}">
    <text xml:space="preserve">Formula corregida </text>
  </threadedComment>
  <threadedComment ref="A626" dT="2026-04-21T22:57:49.30" personId="{E31153D5-4C36-4CCF-A8DE-C2506D81BB15}" id="{C6A3C058-1AFA-45D3-A358-173D9CC150CE}">
    <text>No lo veo en el backoffice</text>
  </threadedComment>
  <threadedComment ref="B627" dT="2026-04-21T23:02:59.89" personId="{E31153D5-4C36-4CCF-A8DE-C2506D81BB15}" id="{D46C4674-C376-4615-AB79-F0900E1B3335}" done="1">
    <text>Este no aparece en el backoffice y es mas riguroso que el de abajo Coeficiente ventas. Lo vamos a meter en lugar del Coeficiente Ventas</text>
  </threadedComment>
  <threadedComment ref="B628" dT="2026-04-21T17:59:46.90" personId="{E31153D5-4C36-4CCF-A8DE-C2506D81BB15}" id="{BDED953B-13E5-4C82-B7F0-ADE9D650FEA7}">
    <text xml:space="preserve">Mismo caso que en Margen de ventas. Revisar formula
</text>
  </threadedComment>
  <threadedComment ref="A631" dT="2026-04-22T00:12:35.04" personId="{E31153D5-4C36-4CCF-A8DE-C2506D81BB15}" id="{2664C2C7-4188-4CFE-9B7A-04F63F6E3909}" done="1">
    <text xml:space="preserve">Este si aparece en el backoffice pero lo vamos a sustituir por el Coeficiente Flujo </text>
  </threadedComment>
  <threadedComment ref="A650" dT="2026-04-21T18:51:48.08" personId="{E31153D5-4C36-4CCF-A8DE-C2506D81BB15}" id="{BFC6FA1C-25F9-4EAE-9716-01A209B0D609}">
    <text>Se añade al concepto “con accesorios” y a la formula hay que incluir el monto de accesorios y la comision por apertura</text>
  </threadedComment>
  <threadedComment ref="A655" dT="2026-04-21T18:53:24.47" personId="{E31153D5-4C36-4CCF-A8DE-C2506D81BB15}" id="{A35C0C16-7F37-481D-B355-ADC6F09E736B}">
    <text xml:space="preserve">No veo esta variable. La dejamos en las configuraciones. Con los parámetros de políticas </text>
  </threadedComment>
  <threadedComment ref="A656" dT="2026-04-21T18:25:37.94" personId="{E31153D5-4C36-4CCF-A8DE-C2506D81BB15}" id="{BFBA7EDD-924C-49E1-ADF7-BA1A3283BFC5}">
    <text xml:space="preserve">Hay que incluir en el concepto SIN IVA
</text>
  </threadedComment>
  <threadedComment ref="D658" dT="2026-04-21T19:49:30.73" personId="{E31153D5-4C36-4CCF-A8DE-C2506D81BB15}" id="{C673BF4B-B045-4971-ADBE-D07BDA9FBBAA}">
    <text>Solo incluí “veces el DSCR por política”</text>
  </threadedComment>
  <threadedComment ref="B661" dT="2026-04-21T19:02:47.59" personId="{E31153D5-4C36-4CCF-A8DE-C2506D81BB15}" id="{E5B5FDDC-971E-47A2-82B8-4D20511E5ED6}">
    <text xml:space="preserve">Este resultado debe de tomar el Precio del activo mas los accesorios. Y ajuste el semáforo ya que no ofrecemos maquinaria y tener un auto con un ratio tan alto sobre ventas no hace sentido. </text>
  </threadedComment>
  <threadedComment ref="C661" dT="2026-04-22T00:04:28.89" personId="{E31153D5-4C36-4CCF-A8DE-C2506D81BB15}" id="{982F4A2A-E286-4B95-AD06-43DA0D06504A}">
    <text xml:space="preserve">Se modifico el rango
</text>
  </threadedComment>
  <threadedComment ref="C662" dT="2026-04-21T19:38:35.18" personId="{E31153D5-4C36-4CCF-A8DE-C2506D81BB15}" id="{DFB7A073-04D7-43E3-9E3D-39E114472CBA}">
    <text xml:space="preserve">Ajuste los parametros
</text>
  </threadedComment>
  <threadedComment ref="F685" dT="2026-04-21T20:20:52.28" personId="{E31153D5-4C36-4CCF-A8DE-C2506D81BB15}" id="{27AC776F-F4D2-4CEA-8ABF-555E9E51D0A1}">
    <text>Se incluyo (B69+1.5) etc para cada rango</text>
  </threadedComment>
  <threadedComment ref="F687" dT="2026-04-21T23:37:05.44" personId="{E31153D5-4C36-4CCF-A8DE-C2506D81BB15}" id="{683B1F06-F900-46F0-9ADB-73F0024F2642}" done="1">
    <text xml:space="preserve">Modifique el rango
</text>
  </threadedComment>
  <threadedComment ref="F688" dT="2026-04-22T00:08:50.05" personId="{E31153D5-4C36-4CCF-A8DE-C2506D81BB15}" id="{96749717-7DDC-4AC6-A28C-101434BFC52A}">
    <text>Modifique los rangos</text>
  </threadedComment>
  <threadedComment ref="J690" dT="2026-07-27T18:57:22.25" personId="{E31153D5-4C36-4CCF-A8DE-C2506D81BB15}" id="{E72103D8-0E7B-42CB-AE1E-E8314678D504}">
    <text xml:space="preserve">Se esta considerando doble la concentración de clientes. El score final varia poco ya que su porcentaje del total es muy bajo. </text>
  </threadedComment>
  <threadedComment ref="F769" dT="2026-04-21T20:20:52.28" personId="{E31153D5-4C36-4CCF-A8DE-C2506D81BB15}" id="{7BC9255D-F424-4C02-B4BC-57543DBD360E}">
    <text>Se incluyo (B69+1.5) etc para cada rango</text>
  </threadedComment>
  <threadedComment ref="F771" dT="2026-04-21T23:37:05.44" personId="{E31153D5-4C36-4CCF-A8DE-C2506D81BB15}" id="{24D1512A-75AE-4633-887A-D5654EB64671}" done="1">
    <text xml:space="preserve">Modifique el rango
</text>
  </threadedComment>
  <threadedComment ref="F772" dT="2026-04-22T00:08:50.05" personId="{E31153D5-4C36-4CCF-A8DE-C2506D81BB15}" id="{CE7F8072-94E9-46FB-BBAA-C1DCFDF8D5B2}">
    <text>Modifique los rangos</text>
  </threadedComment>
  <threadedComment ref="J774" dT="2026-07-27T18:57:22.25" personId="{E31153D5-4C36-4CCF-A8DE-C2506D81BB15}" id="{BD760DEE-807E-4AB2-AE42-00AB5B01DEA2}">
    <text xml:space="preserve">Se esta considerando doble la concentración de clientes. El score final varia poco ya que su porcentaje del total es muy bajo. </text>
  </threadedComment>
  <threadedComment ref="F852" dT="2026-04-21T20:20:52.28" personId="{E31153D5-4C36-4CCF-A8DE-C2506D81BB15}" id="{A36944E1-0B6F-474D-9CEC-B061C7CF1AFE}">
    <text>Se incluyo (B69+1.5) etc para cada rango</text>
  </threadedComment>
  <threadedComment ref="F854" dT="2026-04-21T23:37:05.44" personId="{E31153D5-4C36-4CCF-A8DE-C2506D81BB15}" id="{4B919E9D-658F-4FE9-88E6-EC622128029E}" done="1">
    <text xml:space="preserve">Modifique el rango
</text>
  </threadedComment>
  <threadedComment ref="F855" dT="2026-04-22T00:08:50.05" personId="{E31153D5-4C36-4CCF-A8DE-C2506D81BB15}" id="{378D57B5-CB44-49D0-B336-D33C72BC3081}">
    <text>Modifique los rangos</text>
  </threadedComment>
  <threadedComment ref="J857" dT="2026-07-27T18:57:22.25" personId="{E31153D5-4C36-4CCF-A8DE-C2506D81BB15}" id="{35DFDFE3-093C-4B8F-BC27-A99A823B25D3}">
    <text xml:space="preserve">Se esta considerando doble la concentración de clientes. El score final varia poco ya que su porcentaje del total es muy bajo. </text>
  </threadedComment>
  <threadedComment ref="F935" dT="2026-04-21T20:20:52.28" personId="{E31153D5-4C36-4CCF-A8DE-C2506D81BB15}" id="{023037C5-7B6B-4272-912A-2A175C94929D}">
    <text>Se incluyo (B69+1.5) etc para cada rango</text>
  </threadedComment>
  <threadedComment ref="F937" dT="2026-04-21T23:37:05.44" personId="{E31153D5-4C36-4CCF-A8DE-C2506D81BB15}" id="{606F3BE1-8512-4FDC-AF81-3C2E1C9BEEBF}" done="1">
    <text xml:space="preserve">Modifique el rango
</text>
  </threadedComment>
  <threadedComment ref="F938" dT="2026-04-22T00:08:50.05" personId="{E31153D5-4C36-4CCF-A8DE-C2506D81BB15}" id="{C85DB472-0543-4F5E-AEAB-9CBCDBE24FD3}">
    <text>Modifique los rangos</text>
  </threadedComment>
  <threadedComment ref="J940" dT="2026-07-27T18:57:22.25" personId="{E31153D5-4C36-4CCF-A8DE-C2506D81BB15}" id="{6AC60EE5-C0B9-4246-B9F1-8239007ED348}">
    <text xml:space="preserve">Se esta considerando doble la concentración de clientes. El score final varia poco ya que su porcentaje del total es muy bajo. </text>
  </threadedComment>
  <threadedComment ref="F1018" dT="2026-04-21T20:20:52.28" personId="{E31153D5-4C36-4CCF-A8DE-C2506D81BB15}" id="{DBBD3686-369B-49C1-B275-5B37AFD0D37C}">
    <text>Se incluyo (B69+1.5) etc para cada rango</text>
  </threadedComment>
  <threadedComment ref="F1020" dT="2026-04-21T23:37:05.44" personId="{E31153D5-4C36-4CCF-A8DE-C2506D81BB15}" id="{1F63A648-48F5-4BB2-BDFD-DDA22CE9D404}" done="1">
    <text xml:space="preserve">Modifique el rango
</text>
  </threadedComment>
  <threadedComment ref="F1021" dT="2026-04-22T00:08:50.05" personId="{E31153D5-4C36-4CCF-A8DE-C2506D81BB15}" id="{FE895024-43E0-4DA8-9BF3-3D98F59F3E7A}">
    <text>Modifique los rangos</text>
  </threadedComment>
  <threadedComment ref="J1023" dT="2026-07-27T18:57:22.25" personId="{E31153D5-4C36-4CCF-A8DE-C2506D81BB15}" id="{84FAA147-CC40-4925-A122-8E754030ABD1}">
    <text xml:space="preserve">Se esta considerando doble la concentración de clientes. El score final varia poco ya que su porcentaje del total es muy bajo. </text>
  </threadedComment>
  <threadedComment ref="F1101" dT="2026-04-21T20:20:52.28" personId="{E31153D5-4C36-4CCF-A8DE-C2506D81BB15}" id="{7900548B-9605-446C-B186-730A320EA548}">
    <text>Se incluyo (B69+1.5) etc para cada rango</text>
  </threadedComment>
  <threadedComment ref="F1103" dT="2026-04-21T23:37:05.44" personId="{E31153D5-4C36-4CCF-A8DE-C2506D81BB15}" id="{AD0F70C6-1B37-445C-933C-AF92C2889D18}" done="1">
    <text xml:space="preserve">Modifique el rango
</text>
  </threadedComment>
  <threadedComment ref="F1104" dT="2026-04-22T00:08:50.05" personId="{E31153D5-4C36-4CCF-A8DE-C2506D81BB15}" id="{7DC6D372-8B94-43DD-BF37-482D25CEC26D}">
    <text>Modifique los rangos</text>
  </threadedComment>
  <threadedComment ref="J1106" dT="2026-07-27T18:57:22.25" personId="{E31153D5-4C36-4CCF-A8DE-C2506D81BB15}" id="{E18F1CDF-3B8C-4FDD-82D7-AA7C6875C5A5}">
    <text xml:space="preserve">Se esta considerando doble la concentración de clientes. El score final varia poco ya que su porcentaje del total es muy bajo. </text>
  </threadedComment>
  <threadedComment ref="F1184" dT="2026-04-21T20:20:52.28" personId="{E31153D5-4C36-4CCF-A8DE-C2506D81BB15}" id="{60F33257-A89B-41F4-8E70-1D25DEA637CA}">
    <text>Se incluyo (B69+1.5) etc para cada rango</text>
  </threadedComment>
  <threadedComment ref="F1186" dT="2026-04-21T23:37:05.44" personId="{E31153D5-4C36-4CCF-A8DE-C2506D81BB15}" id="{26A7ECED-60C7-4EE7-BA19-1379290500DF}" done="1">
    <text xml:space="preserve">Modifique el rango
</text>
  </threadedComment>
  <threadedComment ref="F1187" dT="2026-04-22T00:08:50.05" personId="{E31153D5-4C36-4CCF-A8DE-C2506D81BB15}" id="{24DCEA3D-ADDC-43AF-83B2-886B469C1681}">
    <text>Modifique los rangos</text>
  </threadedComment>
  <threadedComment ref="J1189" dT="2026-07-27T18:57:22.25" personId="{E31153D5-4C36-4CCF-A8DE-C2506D81BB15}" id="{BC025EAB-58B4-4E0D-B3E6-C6E2AEFA149A}">
    <text xml:space="preserve">Se esta considerando doble la concentración de clientes. El score final varia poco ya que su porcentaje del total es muy bajo.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8379-8C24-4FC0-A4E0-43282DE8D8FF}">
  <dimension ref="A1:AP914"/>
  <sheetViews>
    <sheetView tabSelected="1" workbookViewId="0">
      <selection activeCell="M56" sqref="M56"/>
    </sheetView>
  </sheetViews>
  <sheetFormatPr baseColWidth="10" defaultColWidth="9" defaultRowHeight="14.25"/>
  <cols>
    <col min="1" max="1" width="6.59765625" customWidth="1"/>
    <col min="2" max="2" width="6.86328125" customWidth="1"/>
    <col min="3" max="3" width="9" customWidth="1"/>
    <col min="4" max="4" width="11.73046875" customWidth="1"/>
    <col min="5" max="5" width="12.86328125" customWidth="1"/>
    <col min="6" max="6" width="14.1328125" customWidth="1"/>
    <col min="7" max="7" width="14" customWidth="1"/>
    <col min="8" max="8" width="12.53125" customWidth="1"/>
    <col min="9" max="9" width="7.59765625" customWidth="1"/>
    <col min="10" max="10" width="6.6640625" customWidth="1"/>
    <col min="11" max="11" width="5.6640625" customWidth="1"/>
    <col min="12" max="15" width="7.86328125" customWidth="1"/>
    <col min="16" max="16" width="11.3984375" customWidth="1"/>
    <col min="17" max="17" width="11.73046875" customWidth="1"/>
    <col min="18" max="18" width="11.86328125" customWidth="1"/>
    <col min="20" max="20" width="9" customWidth="1"/>
    <col min="21" max="21" width="5.3984375" customWidth="1"/>
    <col min="22" max="22" width="5.59765625" customWidth="1"/>
    <col min="23" max="23" width="12.3984375" customWidth="1"/>
    <col min="24" max="24" width="64" customWidth="1"/>
    <col min="25" max="25" width="95" customWidth="1"/>
    <col min="26" max="26" width="86.3984375" customWidth="1"/>
    <col min="27" max="27" width="35.265625" customWidth="1"/>
    <col min="28" max="28" width="11.1328125" customWidth="1"/>
    <col min="33" max="34" width="11.3984375" bestFit="1" customWidth="1"/>
    <col min="35" max="37" width="12.59765625" customWidth="1"/>
    <col min="39" max="39" width="32.265625" customWidth="1"/>
    <col min="40" max="40" width="40.265625" customWidth="1"/>
    <col min="41" max="41" width="36.73046875" customWidth="1"/>
  </cols>
  <sheetData>
    <row r="1" spans="1:42" ht="27" thickBot="1">
      <c r="A1" s="453" t="s">
        <v>413</v>
      </c>
      <c r="B1" s="454"/>
      <c r="C1" s="454"/>
      <c r="D1" s="454"/>
      <c r="E1" s="454"/>
      <c r="F1" s="388"/>
      <c r="G1" s="388"/>
      <c r="H1" s="389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386"/>
      <c r="AD1" s="386"/>
      <c r="AE1" s="386"/>
      <c r="AF1" s="386"/>
      <c r="AG1" s="386"/>
      <c r="AH1" s="386"/>
      <c r="AI1" s="386"/>
      <c r="AJ1" s="386"/>
      <c r="AK1" s="386"/>
      <c r="AL1" s="386"/>
      <c r="AM1" s="386"/>
      <c r="AN1" s="386"/>
      <c r="AO1" s="386"/>
      <c r="AP1" s="390"/>
    </row>
    <row r="2" spans="1:42" ht="42.75" customHeight="1" thickBot="1">
      <c r="B2" s="405" t="s">
        <v>1</v>
      </c>
      <c r="C2" s="406" t="s">
        <v>2</v>
      </c>
      <c r="D2" s="406" t="s">
        <v>3</v>
      </c>
      <c r="E2" s="406" t="s">
        <v>4</v>
      </c>
      <c r="F2" s="406" t="s">
        <v>5</v>
      </c>
      <c r="G2" s="406" t="s">
        <v>6</v>
      </c>
      <c r="H2" s="406" t="s">
        <v>7</v>
      </c>
      <c r="I2" s="407" t="s">
        <v>388</v>
      </c>
      <c r="J2" s="407" t="s">
        <v>385</v>
      </c>
      <c r="K2" s="406" t="s">
        <v>386</v>
      </c>
      <c r="L2" s="406" t="s">
        <v>391</v>
      </c>
      <c r="M2" s="406" t="s">
        <v>392</v>
      </c>
      <c r="N2" s="406" t="s">
        <v>389</v>
      </c>
      <c r="O2" s="406" t="s">
        <v>390</v>
      </c>
      <c r="P2" s="406" t="s">
        <v>11</v>
      </c>
      <c r="Q2" s="406" t="s">
        <v>12</v>
      </c>
      <c r="R2" s="406" t="s">
        <v>13</v>
      </c>
      <c r="S2" s="406" t="s">
        <v>14</v>
      </c>
      <c r="T2" s="406" t="s">
        <v>15</v>
      </c>
      <c r="U2" s="406" t="s">
        <v>16</v>
      </c>
      <c r="V2" s="408" t="s">
        <v>17</v>
      </c>
      <c r="X2" s="394" t="s">
        <v>18</v>
      </c>
      <c r="Y2" s="395" t="s">
        <v>19</v>
      </c>
      <c r="Z2" s="394" t="s">
        <v>20</v>
      </c>
    </row>
    <row r="3" spans="1:42" ht="27.75" thickBot="1">
      <c r="B3" s="248">
        <v>1</v>
      </c>
      <c r="C3" s="396" t="s">
        <v>379</v>
      </c>
      <c r="D3" s="397">
        <v>231265.08</v>
      </c>
      <c r="E3" s="397">
        <v>477643.39</v>
      </c>
      <c r="F3" s="398">
        <v>3774744.11</v>
      </c>
      <c r="G3" s="397">
        <v>3528365.8</v>
      </c>
      <c r="H3" s="397">
        <v>254516.74</v>
      </c>
      <c r="I3" s="399">
        <v>125</v>
      </c>
      <c r="J3" s="399">
        <v>347</v>
      </c>
      <c r="K3" s="400">
        <v>0</v>
      </c>
      <c r="L3" s="400"/>
      <c r="M3" s="400"/>
      <c r="N3" s="400"/>
      <c r="O3" s="400"/>
      <c r="P3" s="401">
        <f t="shared" ref="P3" si="0">+F3/I3</f>
        <v>30197.952880000001</v>
      </c>
      <c r="Q3" s="401">
        <f t="shared" ref="Q3:Q8" si="1">+G3/J3</f>
        <v>10168.201152737751</v>
      </c>
      <c r="R3" s="397">
        <f t="shared" ref="R3:R8" si="2">+F3-G3</f>
        <v>246378.31000000006</v>
      </c>
      <c r="S3" s="402">
        <f t="shared" ref="S3:S8" si="3">+G3/F3</f>
        <v>0.93472979814782731</v>
      </c>
      <c r="T3" s="403">
        <f t="shared" ref="T3:T8" si="4">(+F3-G3)/F3</f>
        <v>6.5270201852172721E-2</v>
      </c>
      <c r="U3" s="400">
        <v>0</v>
      </c>
      <c r="V3" s="404">
        <v>26</v>
      </c>
      <c r="X3" s="12" t="s">
        <v>21</v>
      </c>
      <c r="Y3" s="13" t="s">
        <v>22</v>
      </c>
      <c r="Z3" s="12" t="s">
        <v>23</v>
      </c>
    </row>
    <row r="4" spans="1:42" ht="28.15" thickBot="1">
      <c r="B4" s="249">
        <v>2</v>
      </c>
      <c r="C4" s="301" t="s">
        <v>380</v>
      </c>
      <c r="D4" s="302">
        <v>477643.39</v>
      </c>
      <c r="E4" s="302">
        <v>616917.6</v>
      </c>
      <c r="F4" s="303">
        <v>4299747.28</v>
      </c>
      <c r="G4" s="302">
        <v>4160473.07</v>
      </c>
      <c r="H4" s="302">
        <v>441303.61</v>
      </c>
      <c r="I4" s="304">
        <v>177</v>
      </c>
      <c r="J4" s="304">
        <v>392</v>
      </c>
      <c r="K4" s="305">
        <v>0</v>
      </c>
      <c r="L4" s="305"/>
      <c r="M4" s="305"/>
      <c r="N4" s="305"/>
      <c r="O4" s="305"/>
      <c r="P4" s="306">
        <f>+F4/I4</f>
        <v>24292.357514124295</v>
      </c>
      <c r="Q4" s="306">
        <f t="shared" si="1"/>
        <v>10613.451709183673</v>
      </c>
      <c r="R4" s="302">
        <f t="shared" si="2"/>
        <v>139274.21000000043</v>
      </c>
      <c r="S4" s="307">
        <f t="shared" si="3"/>
        <v>0.96760874513536521</v>
      </c>
      <c r="T4" s="308">
        <f t="shared" si="4"/>
        <v>3.2391254864634837E-2</v>
      </c>
      <c r="U4" s="305">
        <v>0</v>
      </c>
      <c r="V4" s="310">
        <v>401.19</v>
      </c>
      <c r="X4" s="12" t="s">
        <v>24</v>
      </c>
      <c r="Y4" s="13" t="s">
        <v>25</v>
      </c>
      <c r="Z4" s="12" t="s">
        <v>26</v>
      </c>
    </row>
    <row r="5" spans="1:42" ht="27.75" thickBot="1">
      <c r="B5" s="249">
        <v>3</v>
      </c>
      <c r="C5" s="301" t="s">
        <v>381</v>
      </c>
      <c r="D5" s="302">
        <v>616917.6</v>
      </c>
      <c r="E5" s="302">
        <v>1230820.51</v>
      </c>
      <c r="F5" s="302">
        <v>5232121.63</v>
      </c>
      <c r="G5" s="302">
        <v>4618218.72</v>
      </c>
      <c r="H5" s="302">
        <v>507399.75</v>
      </c>
      <c r="I5" s="304">
        <v>167</v>
      </c>
      <c r="J5" s="304">
        <v>351</v>
      </c>
      <c r="K5" s="305">
        <v>0</v>
      </c>
      <c r="L5" s="305"/>
      <c r="M5" s="305"/>
      <c r="N5" s="305"/>
      <c r="O5" s="305"/>
      <c r="P5" s="306">
        <f t="shared" ref="P5:P8" si="5">+F5/I5</f>
        <v>31330.069640718561</v>
      </c>
      <c r="Q5" s="306">
        <f t="shared" si="1"/>
        <v>13157.31829059829</v>
      </c>
      <c r="R5" s="302">
        <f t="shared" si="2"/>
        <v>613902.91000000015</v>
      </c>
      <c r="S5" s="307">
        <f t="shared" si="3"/>
        <v>0.88266654458489713</v>
      </c>
      <c r="T5" s="308">
        <f t="shared" si="4"/>
        <v>0.11733345541510283</v>
      </c>
      <c r="U5" s="305">
        <v>0</v>
      </c>
      <c r="V5" s="309"/>
      <c r="X5" s="12" t="s">
        <v>27</v>
      </c>
      <c r="Y5" s="13" t="s">
        <v>28</v>
      </c>
      <c r="Z5" s="14" t="s">
        <v>29</v>
      </c>
    </row>
    <row r="6" spans="1:42" ht="27.75" thickBot="1">
      <c r="B6" s="249">
        <v>4</v>
      </c>
      <c r="C6" s="301" t="s">
        <v>382</v>
      </c>
      <c r="D6" s="302">
        <v>1230820.51</v>
      </c>
      <c r="E6" s="302">
        <v>571175.46</v>
      </c>
      <c r="F6" s="302">
        <v>5896371.21</v>
      </c>
      <c r="G6" s="302">
        <v>6532816.2599999998</v>
      </c>
      <c r="H6" s="302">
        <v>947399.31</v>
      </c>
      <c r="I6" s="304">
        <v>169</v>
      </c>
      <c r="J6" s="304">
        <v>389</v>
      </c>
      <c r="K6" s="305">
        <v>0</v>
      </c>
      <c r="L6" s="305"/>
      <c r="M6" s="305"/>
      <c r="N6" s="305"/>
      <c r="O6" s="305"/>
      <c r="P6" s="306">
        <f t="shared" si="5"/>
        <v>34889.770473372781</v>
      </c>
      <c r="Q6" s="306">
        <f t="shared" si="1"/>
        <v>16793.872133676094</v>
      </c>
      <c r="R6" s="302">
        <f t="shared" si="2"/>
        <v>-636445.04999999981</v>
      </c>
      <c r="S6" s="307">
        <f t="shared" si="3"/>
        <v>1.1079384298126644</v>
      </c>
      <c r="T6" s="308">
        <f t="shared" si="4"/>
        <v>-0.10793842981266435</v>
      </c>
      <c r="U6" s="305">
        <v>0</v>
      </c>
      <c r="V6" s="310">
        <v>390</v>
      </c>
      <c r="X6" s="12" t="s">
        <v>30</v>
      </c>
      <c r="Y6" s="13" t="s">
        <v>31</v>
      </c>
      <c r="Z6" s="12" t="s">
        <v>32</v>
      </c>
    </row>
    <row r="7" spans="1:42" ht="14.65" thickBot="1">
      <c r="B7" s="249">
        <v>5</v>
      </c>
      <c r="C7" s="301" t="s">
        <v>383</v>
      </c>
      <c r="D7" s="302">
        <v>571175.46</v>
      </c>
      <c r="E7" s="302">
        <v>201204.28</v>
      </c>
      <c r="F7" s="302">
        <v>5249732.91</v>
      </c>
      <c r="G7" s="302">
        <v>5642904.0899999999</v>
      </c>
      <c r="H7" s="302">
        <v>100311.28</v>
      </c>
      <c r="I7" s="304">
        <v>187</v>
      </c>
      <c r="J7" s="304">
        <v>330</v>
      </c>
      <c r="K7" s="305"/>
      <c r="L7" s="305"/>
      <c r="M7" s="305"/>
      <c r="N7" s="305"/>
      <c r="O7" s="305"/>
      <c r="P7" s="306">
        <f t="shared" si="5"/>
        <v>28073.438021390375</v>
      </c>
      <c r="Q7" s="306">
        <f t="shared" si="1"/>
        <v>17099.709363636364</v>
      </c>
      <c r="R7" s="302">
        <f t="shared" si="2"/>
        <v>-393171.1799999997</v>
      </c>
      <c r="S7" s="307">
        <f t="shared" si="3"/>
        <v>1.0748935587277333</v>
      </c>
      <c r="T7" s="308">
        <f t="shared" si="4"/>
        <v>-7.4893558727733386E-2</v>
      </c>
      <c r="U7" s="305"/>
      <c r="V7" s="303">
        <v>1067.03</v>
      </c>
      <c r="X7" s="12"/>
      <c r="Y7" s="13"/>
      <c r="Z7" s="12"/>
    </row>
    <row r="8" spans="1:42" ht="27.75" thickBot="1">
      <c r="B8" s="250">
        <v>6</v>
      </c>
      <c r="C8" s="301" t="s">
        <v>384</v>
      </c>
      <c r="D8" s="302">
        <v>201204.28</v>
      </c>
      <c r="E8" s="302">
        <v>243626.76</v>
      </c>
      <c r="F8" s="302">
        <v>6307754.1399999997</v>
      </c>
      <c r="G8" s="302">
        <v>6265331.6600000001</v>
      </c>
      <c r="H8" s="302">
        <v>797036.81</v>
      </c>
      <c r="I8" s="304">
        <v>208</v>
      </c>
      <c r="J8" s="304">
        <v>461</v>
      </c>
      <c r="K8" s="305">
        <v>0</v>
      </c>
      <c r="L8" s="305"/>
      <c r="M8" s="305"/>
      <c r="N8" s="305"/>
      <c r="O8" s="305"/>
      <c r="P8" s="306">
        <f t="shared" si="5"/>
        <v>30325.741057692307</v>
      </c>
      <c r="Q8" s="306">
        <f t="shared" si="1"/>
        <v>13590.741127982647</v>
      </c>
      <c r="R8" s="302">
        <f t="shared" si="2"/>
        <v>42422.479999999516</v>
      </c>
      <c r="S8" s="307">
        <f t="shared" si="3"/>
        <v>0.99327455080549487</v>
      </c>
      <c r="T8" s="308">
        <f t="shared" si="4"/>
        <v>6.7254491945051486E-3</v>
      </c>
      <c r="U8" s="305">
        <v>0</v>
      </c>
      <c r="V8" s="309">
        <v>390</v>
      </c>
      <c r="X8" s="12" t="s">
        <v>33</v>
      </c>
      <c r="Y8" s="13" t="s">
        <v>34</v>
      </c>
      <c r="Z8" s="12" t="s">
        <v>35</v>
      </c>
    </row>
    <row r="9" spans="1:42">
      <c r="C9" s="270" t="s">
        <v>36</v>
      </c>
      <c r="D9" s="262"/>
      <c r="E9" s="262"/>
      <c r="F9" s="271">
        <f>SUM(F3:F8)</f>
        <v>30760471.280000001</v>
      </c>
      <c r="G9" s="271">
        <f>SUM(G3:G8)</f>
        <v>30748109.600000001</v>
      </c>
      <c r="I9" s="2"/>
      <c r="J9" s="2"/>
      <c r="Q9" s="264"/>
      <c r="R9" s="262"/>
      <c r="S9" s="266"/>
      <c r="T9" s="267"/>
    </row>
    <row r="10" spans="1:42" ht="14.65" thickBot="1">
      <c r="D10" s="262"/>
      <c r="E10" s="262"/>
      <c r="I10" s="2"/>
      <c r="J10" s="2"/>
      <c r="P10" s="263"/>
      <c r="Q10" s="264"/>
      <c r="R10" s="262"/>
      <c r="S10" s="266"/>
      <c r="T10" s="267"/>
      <c r="X10" s="268"/>
      <c r="Y10" s="269"/>
      <c r="Z10" s="268"/>
    </row>
    <row r="11" spans="1:42" ht="14.65" thickBot="1">
      <c r="C11" s="16" t="s">
        <v>37</v>
      </c>
      <c r="D11" s="272"/>
      <c r="E11" s="272">
        <f>+G17</f>
        <v>556898</v>
      </c>
      <c r="F11" s="272">
        <f>+G16</f>
        <v>5126745.2133333338</v>
      </c>
      <c r="G11" s="273">
        <f>+AVERAGE(G3:G8)</f>
        <v>5124684.9333333336</v>
      </c>
      <c r="I11" s="276">
        <f>+AVERAGE(I3:I8)</f>
        <v>172.16666666666666</v>
      </c>
      <c r="J11" s="277">
        <f>+AVERAGE(J3:J8)</f>
        <v>378.33333333333331</v>
      </c>
      <c r="P11" s="311">
        <f>+AVERAGE(P3:P8)</f>
        <v>29851.554931216382</v>
      </c>
      <c r="Q11" s="272">
        <f>+AVERAGE(Q3:Q8)</f>
        <v>13570.548962969136</v>
      </c>
      <c r="R11" s="273">
        <f>+AVERAGE(R3:R8)</f>
        <v>2060.2800000001057</v>
      </c>
      <c r="S11" s="9"/>
      <c r="T11" s="9"/>
      <c r="X11" s="268"/>
      <c r="Y11" s="269"/>
      <c r="Z11" s="268"/>
    </row>
    <row r="12" spans="1:42" ht="14.65" thickBot="1">
      <c r="C12" s="6" t="s">
        <v>38</v>
      </c>
      <c r="D12" s="274"/>
      <c r="E12" s="274">
        <f>(E3*0.05)+(E4*0.1)+(E5*0.1)+(E6*0.15)+(E7*0.25)+(E8*0.35)</f>
        <v>429902.73549999995</v>
      </c>
      <c r="F12" s="274">
        <f>(F3*0.05)+(F4*0.1)+(F5*0.1)+(F6*0.15)+(F7*0.25)+(F8*0.35)</f>
        <v>5546526.9544999991</v>
      </c>
      <c r="G12" s="275">
        <f>(G3*0.05)+(G4*0.1)+(G5*0.1)+(G6*0.15)+(G7*0.25)+(G8*0.35)</f>
        <v>5637802.0114999991</v>
      </c>
      <c r="I12" s="9"/>
      <c r="P12" s="312">
        <f>(P3*0.05)+(P4*0.1)+(P5*0.1)+(P6*0.15)+(P7*0.25)+(P8*0.35)</f>
        <v>29937.974806030103</v>
      </c>
      <c r="Q12" s="274">
        <f>(Q3*0.05)+(Q4*0.1)+(Q5*0.1)+(Q6*0.15)+(Q7*0.25)+(Q8*0.35)</f>
        <v>14436.254613369516</v>
      </c>
      <c r="R12" s="275">
        <f>(R3*0.05)+(R4*0.1)+(R5*0.1)+(R6*0.15)+(R7*0.25)+(R8*0.35)</f>
        <v>-91275.057000000001</v>
      </c>
      <c r="S12" s="9"/>
      <c r="T12" s="9"/>
    </row>
    <row r="13" spans="1:42" ht="14.65" thickBot="1"/>
    <row r="14" spans="1:42" ht="14.65" thickBot="1">
      <c r="D14" s="283" t="s">
        <v>39</v>
      </c>
      <c r="E14" s="284"/>
      <c r="F14" s="284"/>
      <c r="G14" s="422">
        <v>14666.02</v>
      </c>
    </row>
    <row r="15" spans="1:42" ht="14.65" thickBot="1">
      <c r="G15" s="278"/>
      <c r="H15" s="18" t="s">
        <v>40</v>
      </c>
    </row>
    <row r="16" spans="1:42">
      <c r="D16" s="16" t="s">
        <v>387</v>
      </c>
      <c r="E16" s="286"/>
      <c r="F16" s="286"/>
      <c r="G16" s="287">
        <f>+AVERAGE(F3:F8)</f>
        <v>5126745.2133333338</v>
      </c>
      <c r="H16" s="288"/>
      <c r="I16" s="17" t="s">
        <v>41</v>
      </c>
    </row>
    <row r="17" spans="2:19">
      <c r="D17" s="3" t="s">
        <v>18</v>
      </c>
      <c r="G17" s="279">
        <f>+AVERAGE(E3:E8)</f>
        <v>556898</v>
      </c>
      <c r="H17" s="289"/>
      <c r="I17" t="s">
        <v>42</v>
      </c>
    </row>
    <row r="18" spans="2:19">
      <c r="D18" s="3" t="s">
        <v>43</v>
      </c>
      <c r="G18" s="279">
        <f>(E8*0.5)+(E7*0.3)+(E6*0.2)</f>
        <v>296409.75599999999</v>
      </c>
      <c r="H18" s="289"/>
    </row>
    <row r="19" spans="2:19">
      <c r="D19" s="3" t="s">
        <v>44</v>
      </c>
      <c r="G19" s="279">
        <f>AVERAGE(E3:E5)</f>
        <v>775127.16666666663</v>
      </c>
      <c r="H19" s="289"/>
    </row>
    <row r="20" spans="2:19">
      <c r="D20" s="369" t="s">
        <v>410</v>
      </c>
      <c r="G20" s="449">
        <f>(AVERAGE(H6:H8) - AVERAGE(H3:H5)) / MAX(ABS(AVERAGE(H3:H5)), 1000)</f>
        <v>0.53317535170830344</v>
      </c>
      <c r="H20" s="4">
        <f>IF(G20&gt;=1.2,100,IF(G20&gt;=1,80,IF(G20&gt;=0.8,50,IF(G20&gt;=0.5,30,IF(G20&gt;=0.2,0,-20)))))</f>
        <v>30</v>
      </c>
      <c r="I20" s="501" t="s">
        <v>354</v>
      </c>
      <c r="J20" s="502"/>
      <c r="K20" s="502"/>
      <c r="L20" s="502"/>
      <c r="M20" s="502"/>
      <c r="N20" s="502"/>
      <c r="O20" s="502"/>
      <c r="P20" s="502"/>
    </row>
    <row r="21" spans="2:19">
      <c r="D21" s="369" t="s">
        <v>411</v>
      </c>
      <c r="E21" s="23"/>
      <c r="F21" s="23"/>
      <c r="G21" s="370">
        <f>(AVERAGE(R6:R8) - AVERAGE(R3:R5)) / MAX(ABS(AVERAGE(R3:R5)), 1000)</f>
        <v>-1.9876328219236417</v>
      </c>
      <c r="H21" s="202">
        <f>IF(G21&gt;=1.2,100,IF(G21&gt;=1,80,IF(G21&gt;=0.8,50,IF(G21&gt;=0.5,30,IF(G21&gt;=0.2,0,-20)))))</f>
        <v>-20</v>
      </c>
      <c r="I21" s="502"/>
      <c r="J21" s="502"/>
      <c r="K21" s="502"/>
      <c r="L21" s="502"/>
      <c r="M21" s="502"/>
      <c r="N21" s="502"/>
      <c r="O21" s="502"/>
      <c r="P21" s="502"/>
    </row>
    <row r="22" spans="2:19">
      <c r="D22" s="3" t="s">
        <v>45</v>
      </c>
      <c r="G22" s="265">
        <f>(SUM(F3:F8)*G42)/6</f>
        <v>-84367.021995958348</v>
      </c>
      <c r="H22" s="290"/>
      <c r="I22" t="s">
        <v>46</v>
      </c>
    </row>
    <row r="23" spans="2:19">
      <c r="D23" s="3" t="s">
        <v>47</v>
      </c>
      <c r="G23" s="265">
        <f>(R3*0.05)+(R4*0.1)+(R5*0.1)+(R6*0.15)+(R7*0.25)+(R8*0.35)</f>
        <v>-91275.057000000001</v>
      </c>
      <c r="H23" s="290"/>
      <c r="I23" t="s">
        <v>48</v>
      </c>
    </row>
    <row r="24" spans="2:19">
      <c r="D24" s="3" t="s">
        <v>49</v>
      </c>
      <c r="F24" s="280" t="str">
        <f>+IF(G24&lt;0.75,"Muy Sano",IF(G24&lt;0.85,"Sano",IF(G24&lt;0.95,"Presionado",IF(G24&gt;0.95,"Riesgoso"))))</f>
        <v>Riesgoso</v>
      </c>
      <c r="G24" s="281">
        <f>(S3*0.05)+(S4*0.1)+(S5*0.1)+(S6*0.15)+(S7*0.25)+(S8*0.35)</f>
        <v>1.0143242658151739</v>
      </c>
      <c r="H24" s="4">
        <f>+IF(G24&lt;0.75,100,IF(G24&lt;0.8,80,IF(G24&lt;0.85,50,IF(G24&lt;0.9,30,IF(G24&lt;0.95,15,IF(G24&lt;1,0,-20))))))</f>
        <v>-20</v>
      </c>
      <c r="I24" t="s">
        <v>50</v>
      </c>
      <c r="S24" t="s">
        <v>355</v>
      </c>
    </row>
    <row r="25" spans="2:19">
      <c r="D25" s="3" t="s">
        <v>21</v>
      </c>
      <c r="G25" s="282">
        <f>+SUM(K3:K8)</f>
        <v>0</v>
      </c>
      <c r="H25" s="289"/>
      <c r="I25" t="s">
        <v>51</v>
      </c>
    </row>
    <row r="26" spans="2:19">
      <c r="D26" s="3" t="s">
        <v>52</v>
      </c>
      <c r="G26" s="15">
        <f>AVERAGE(E3:E8)/AVERAGE(F3:F8)</f>
        <v>0.10862603402869579</v>
      </c>
      <c r="H26" s="4">
        <f>+IF(G26&gt;15%,100,IF(G26&gt;10%,80,IF(G26&gt;5%,60,IF(G26&gt;3%,50,IF(G26&gt;1.5%,20,IF(G26&lt;1.5%,10,IF(G26=0,0,-10)))))))</f>
        <v>80</v>
      </c>
      <c r="I26" t="s">
        <v>53</v>
      </c>
    </row>
    <row r="27" spans="2:19" ht="14.65" thickBot="1">
      <c r="D27" s="6" t="s">
        <v>54</v>
      </c>
      <c r="E27" s="291"/>
      <c r="F27" s="291"/>
      <c r="G27" s="292">
        <f>1 - (STDEV(F3:F8)/AVERAGE(F3:F8))</f>
        <v>0.81443730801132685</v>
      </c>
      <c r="H27" s="293">
        <f>MAX(0,MIN(100,G27*100))</f>
        <v>81.443730801132688</v>
      </c>
      <c r="I27" t="s">
        <v>55</v>
      </c>
    </row>
    <row r="28" spans="2:19" ht="14.65" thickBot="1">
      <c r="H28" s="18" t="s">
        <v>40</v>
      </c>
    </row>
    <row r="29" spans="2:19">
      <c r="B29" s="503"/>
      <c r="C29" s="504"/>
      <c r="D29" s="324"/>
      <c r="E29" s="324"/>
      <c r="F29" s="286"/>
      <c r="G29" s="325"/>
      <c r="H29" s="325"/>
    </row>
    <row r="30" spans="2:19">
      <c r="B30" s="489"/>
      <c r="C30" s="490"/>
      <c r="F30" s="8"/>
      <c r="G30" s="294"/>
      <c r="H30" s="294"/>
    </row>
    <row r="31" spans="2:19">
      <c r="B31" s="493" t="s">
        <v>56</v>
      </c>
      <c r="C31" s="494"/>
      <c r="D31" t="s">
        <v>57</v>
      </c>
      <c r="F31" s="8"/>
      <c r="G31" s="294">
        <f>(SUM(E3:E8)-MAX(E3:E8)-MIN(E3:E8))/(COUNT(E3:E8)-2)</f>
        <v>477340.80250000005</v>
      </c>
      <c r="H31" s="295"/>
      <c r="I31" t="s">
        <v>58</v>
      </c>
    </row>
    <row r="32" spans="2:19">
      <c r="B32" s="493" t="s">
        <v>56</v>
      </c>
      <c r="C32" s="494"/>
      <c r="D32" t="s">
        <v>59</v>
      </c>
      <c r="F32" s="8"/>
      <c r="G32" s="294">
        <f>+G31/G14</f>
        <v>32.547398851222077</v>
      </c>
      <c r="H32" s="295">
        <f>IF(G32&lt;0.5,0,IF(G32&lt;1,20,IF(G32&lt;2,50,IF(G32&lt;3,70,IF(G32&lt;5,90,100)))))</f>
        <v>100</v>
      </c>
      <c r="I32" t="s">
        <v>60</v>
      </c>
    </row>
    <row r="33" spans="2:21">
      <c r="B33" s="487" t="s">
        <v>61</v>
      </c>
      <c r="C33" s="488"/>
      <c r="D33" t="s">
        <v>30</v>
      </c>
      <c r="G33" s="294">
        <f>_xlfn.STDEV.S(F3:F8)/AVERAGE(F3:F8)</f>
        <v>0.18556269198867312</v>
      </c>
      <c r="H33" s="294">
        <f>MAX(0,100-(G33*40))</f>
        <v>92.577492320453075</v>
      </c>
      <c r="I33" s="17" t="s">
        <v>62</v>
      </c>
    </row>
    <row r="34" spans="2:21">
      <c r="B34" s="505" t="s">
        <v>63</v>
      </c>
      <c r="C34" s="506"/>
      <c r="D34" t="s">
        <v>64</v>
      </c>
      <c r="G34" s="316">
        <f>((E8+E7+E6)/3)/((E3+E4+E5)/3)</f>
        <v>0.43692035048872624</v>
      </c>
      <c r="H34" s="374" t="str">
        <f>IF(G34&gt;=1.2,"liquidez mejora fuerte",IF(G34&gt;=1,"liquidez estable",IF(G34&gt;=0.8,"liquidez deteriora leve","liquidez deteriora fuerte")))</f>
        <v>liquidez deteriora fuerte</v>
      </c>
      <c r="I34" t="s">
        <v>65</v>
      </c>
    </row>
    <row r="35" spans="2:21">
      <c r="B35" s="489"/>
      <c r="C35" s="490"/>
      <c r="G35" s="294"/>
      <c r="H35" s="294"/>
    </row>
    <row r="36" spans="2:21">
      <c r="B36" s="487" t="s">
        <v>61</v>
      </c>
      <c r="C36" s="488"/>
      <c r="D36" t="s">
        <v>66</v>
      </c>
      <c r="G36" s="294">
        <f>MIN(3,STDEV(R3:R8)/MAX(ABS(AVERAGE(R3:R8)),1000))</f>
        <v>3</v>
      </c>
      <c r="H36" s="294">
        <f>MAX(0,100-(G36*30))</f>
        <v>10</v>
      </c>
      <c r="I36" t="s">
        <v>67</v>
      </c>
      <c r="R36" t="s">
        <v>68</v>
      </c>
    </row>
    <row r="37" spans="2:21">
      <c r="B37" s="489"/>
      <c r="C37" s="490"/>
      <c r="G37" s="294"/>
      <c r="H37" s="294"/>
    </row>
    <row r="38" spans="2:21">
      <c r="B38" s="491" t="s">
        <v>69</v>
      </c>
      <c r="C38" s="492"/>
      <c r="D38" t="s">
        <v>70</v>
      </c>
      <c r="F38" s="7"/>
      <c r="G38" s="294">
        <f>G22-(STDEV(R3:R8)*0.25)</f>
        <v>-197194.12627809786</v>
      </c>
      <c r="H38" s="294"/>
      <c r="I38" t="s">
        <v>71</v>
      </c>
    </row>
    <row r="39" spans="2:21">
      <c r="B39" s="491" t="s">
        <v>69</v>
      </c>
      <c r="C39" s="492"/>
      <c r="D39" t="s">
        <v>72</v>
      </c>
      <c r="F39" s="7"/>
      <c r="G39" s="294">
        <f>+G38/G14</f>
        <v>-13.445646895210688</v>
      </c>
      <c r="H39" s="296"/>
      <c r="I39" t="s">
        <v>73</v>
      </c>
      <c r="U39" t="s">
        <v>353</v>
      </c>
    </row>
    <row r="40" spans="2:21">
      <c r="B40" s="491" t="s">
        <v>69</v>
      </c>
      <c r="C40" s="492"/>
      <c r="D40" t="s">
        <v>74</v>
      </c>
      <c r="G40" s="297">
        <f>+G39/P45</f>
        <v>-5.3782587580842751</v>
      </c>
      <c r="H40" s="294">
        <f>IF((G39/P45)&gt;=1.5,100,IF((G39/P45)&gt;=1.2,80,IF((G39/P45)&gt;=1,60,IF((G39/P45)&gt;=0.8,40,0))))</f>
        <v>0</v>
      </c>
    </row>
    <row r="41" spans="2:21">
      <c r="B41" s="493" t="s">
        <v>56</v>
      </c>
      <c r="C41" s="494"/>
      <c r="D41" t="s">
        <v>75</v>
      </c>
      <c r="F41" s="7"/>
      <c r="G41" s="294">
        <f>SUM(F3:F8)/SUM(G3:G8)</f>
        <v>1.0004020305690597</v>
      </c>
      <c r="H41" s="294">
        <f>IF(G41&gt;=1.1,100,IF(G41&gt;=1.05,80,IF(G41&gt;=1,70,IF(G41&gt;=0.95,50,IF(G41&gt;=0.85,35,10)))))</f>
        <v>70</v>
      </c>
      <c r="I41" t="s">
        <v>76</v>
      </c>
      <c r="Q41" t="s">
        <v>359</v>
      </c>
    </row>
    <row r="42" spans="2:21" ht="14.65" thickBot="1">
      <c r="B42" s="495" t="s">
        <v>69</v>
      </c>
      <c r="C42" s="496"/>
      <c r="D42" s="291" t="s">
        <v>15</v>
      </c>
      <c r="E42" s="291"/>
      <c r="F42" s="298"/>
      <c r="G42" s="299">
        <f>+(F12-G12)/F12</f>
        <v>-1.6456254111583628E-2</v>
      </c>
      <c r="H42" s="300">
        <f>IF(G42&gt;=0.2,100,
IF(G42&gt;=0.1,80,
IF(G42&gt;=0.05,60,
IF(G42&gt;=0,40,
IF(G42&gt;=-0.05,20,0)))))</f>
        <v>20</v>
      </c>
      <c r="I42" t="s">
        <v>77</v>
      </c>
    </row>
    <row r="43" spans="2:21" ht="14.65" thickBot="1"/>
    <row r="44" spans="2:21">
      <c r="B44" s="497" t="s">
        <v>78</v>
      </c>
      <c r="C44" s="498"/>
      <c r="D44" s="189" t="s">
        <v>79</v>
      </c>
      <c r="E44" s="189" t="s">
        <v>40</v>
      </c>
      <c r="F44" s="183"/>
      <c r="I44" s="253" t="s">
        <v>80</v>
      </c>
      <c r="J44" s="375">
        <v>3</v>
      </c>
      <c r="K44" s="256" t="s">
        <v>81</v>
      </c>
      <c r="L44" s="256"/>
      <c r="M44" s="256"/>
      <c r="N44" s="256"/>
      <c r="O44" s="256"/>
      <c r="P44" s="254" t="s">
        <v>82</v>
      </c>
      <c r="Q44" s="254" t="s">
        <v>83</v>
      </c>
    </row>
    <row r="45" spans="2:21">
      <c r="B45" s="184"/>
      <c r="C45" s="182" t="s">
        <v>84</v>
      </c>
      <c r="D45" s="185">
        <v>0.6</v>
      </c>
      <c r="E45" s="15">
        <f>+H40</f>
        <v>0</v>
      </c>
      <c r="F45" s="181"/>
      <c r="I45" s="24" t="s">
        <v>85</v>
      </c>
      <c r="J45" s="4">
        <v>2.75</v>
      </c>
      <c r="K45" s="421">
        <v>48</v>
      </c>
      <c r="L45" s="256"/>
      <c r="M45" s="256"/>
      <c r="N45" s="256"/>
      <c r="O45" s="256"/>
      <c r="P45" s="254">
        <f>+IF(K45&lt;=24,J44,IF(K45&lt;=36,J45,IF(K45&lt;=48,J46,IF(K45&lt;=60,J47,"2"))))</f>
        <v>2.5</v>
      </c>
      <c r="Q45" s="255">
        <f>+IF(K45&lt;24,30.2%,IF(K45&lt;36,26%,IF(K45&lt;48,24.55%,IF(K45&lt;60,23.82%,"0%"))))</f>
        <v>0.2382</v>
      </c>
    </row>
    <row r="46" spans="2:21">
      <c r="B46" s="184"/>
      <c r="C46" s="182" t="s">
        <v>86</v>
      </c>
      <c r="D46" s="185">
        <v>0.25</v>
      </c>
      <c r="E46" s="15">
        <f>+H24</f>
        <v>-20</v>
      </c>
      <c r="F46" s="181"/>
      <c r="I46" s="24" t="s">
        <v>87</v>
      </c>
      <c r="J46" s="4">
        <v>2.5</v>
      </c>
    </row>
    <row r="47" spans="2:21" ht="14.65" thickBot="1">
      <c r="B47" s="184"/>
      <c r="C47" s="182" t="s">
        <v>15</v>
      </c>
      <c r="D47" s="185">
        <v>0.15</v>
      </c>
      <c r="E47" s="15">
        <f>+H42</f>
        <v>20</v>
      </c>
      <c r="F47" s="181"/>
      <c r="I47" s="50" t="s">
        <v>88</v>
      </c>
      <c r="J47" s="317">
        <v>2.25</v>
      </c>
    </row>
    <row r="48" spans="2:21" ht="14.65" thickBot="1">
      <c r="B48" s="186"/>
      <c r="C48" s="187"/>
      <c r="D48" s="187"/>
      <c r="E48" s="188" t="s">
        <v>89</v>
      </c>
      <c r="F48" s="195">
        <f>E45*D45 + E46*D46 + E47*D47</f>
        <v>-2</v>
      </c>
    </row>
    <row r="49" spans="2:16" ht="14.65" thickBot="1">
      <c r="B49" s="499" t="s">
        <v>90</v>
      </c>
      <c r="C49" s="500"/>
      <c r="D49" s="189" t="s">
        <v>79</v>
      </c>
      <c r="E49" s="189" t="s">
        <v>40</v>
      </c>
      <c r="F49" s="183"/>
      <c r="H49" s="9"/>
      <c r="I49" s="313" t="s">
        <v>91</v>
      </c>
      <c r="J49" s="314"/>
      <c r="K49" s="315" t="s">
        <v>92</v>
      </c>
      <c r="L49" s="410"/>
      <c r="M49" s="410"/>
      <c r="N49" s="410"/>
      <c r="O49" s="410"/>
      <c r="P49" s="314"/>
    </row>
    <row r="50" spans="2:16">
      <c r="B50" s="184"/>
      <c r="C50" s="182" t="s">
        <v>93</v>
      </c>
      <c r="D50" s="190">
        <v>0.5</v>
      </c>
      <c r="E50" s="15">
        <f>+H32</f>
        <v>100</v>
      </c>
      <c r="F50" s="181"/>
      <c r="H50" s="182" t="s">
        <v>94</v>
      </c>
      <c r="I50" s="476">
        <f>+G17/P45</f>
        <v>222759.2</v>
      </c>
      <c r="J50" s="477"/>
      <c r="K50" s="478">
        <f>ABS(PV(Q45/12,K45,I50))</f>
        <v>6853622.0482668458</v>
      </c>
      <c r="L50" s="479"/>
      <c r="M50" s="479"/>
      <c r="N50" s="479"/>
      <c r="O50" s="479"/>
      <c r="P50" s="480"/>
    </row>
    <row r="51" spans="2:16">
      <c r="B51" s="184"/>
      <c r="C51" s="182" t="s">
        <v>95</v>
      </c>
      <c r="D51" s="190">
        <v>0.3</v>
      </c>
      <c r="E51" s="15">
        <f>+H41</f>
        <v>70</v>
      </c>
      <c r="F51" s="181"/>
      <c r="H51" s="182" t="s">
        <v>96</v>
      </c>
      <c r="I51" s="476">
        <f>+G16/P45</f>
        <v>2050698.0853333336</v>
      </c>
      <c r="J51" s="477"/>
      <c r="K51" s="478">
        <f>ABS(PV(Q45/12,K45,I51))</f>
        <v>63093733.556141071</v>
      </c>
      <c r="L51" s="479"/>
      <c r="M51" s="479"/>
      <c r="N51" s="479"/>
      <c r="O51" s="479"/>
      <c r="P51" s="480"/>
    </row>
    <row r="52" spans="2:16" ht="14.65" thickBot="1">
      <c r="B52" s="184"/>
      <c r="C52" s="8" t="s">
        <v>97</v>
      </c>
      <c r="D52" s="185">
        <v>0.2</v>
      </c>
      <c r="E52" s="15">
        <f>+H26</f>
        <v>80</v>
      </c>
      <c r="F52" s="181"/>
      <c r="H52" s="257" t="s">
        <v>98</v>
      </c>
      <c r="I52" s="481">
        <f>+G18/P45</f>
        <v>118563.90239999999</v>
      </c>
      <c r="J52" s="482"/>
      <c r="K52" s="483">
        <f>ABS(PV(Q45/12,K45,I52))</f>
        <v>3647850.1252347752</v>
      </c>
      <c r="L52" s="484"/>
      <c r="M52" s="484"/>
      <c r="N52" s="484"/>
      <c r="O52" s="484"/>
      <c r="P52" s="485"/>
    </row>
    <row r="53" spans="2:16" ht="14.65" thickBot="1">
      <c r="B53" s="191"/>
      <c r="C53" s="182"/>
      <c r="D53" s="187"/>
      <c r="E53" s="188" t="s">
        <v>89</v>
      </c>
      <c r="F53" s="195">
        <f xml:space="preserve"> E50*D50 + E51*D51+E52*D52</f>
        <v>87</v>
      </c>
    </row>
    <row r="54" spans="2:16">
      <c r="B54" s="196" t="s">
        <v>99</v>
      </c>
      <c r="C54" s="197"/>
      <c r="D54" s="189" t="s">
        <v>79</v>
      </c>
      <c r="E54" s="189" t="s">
        <v>40</v>
      </c>
      <c r="F54" s="183"/>
      <c r="I54" s="486" t="s">
        <v>100</v>
      </c>
      <c r="J54" s="486"/>
      <c r="P54" s="8"/>
    </row>
    <row r="55" spans="2:16">
      <c r="B55" s="184"/>
      <c r="C55" s="182" t="s">
        <v>101</v>
      </c>
      <c r="D55" s="7">
        <v>0.6</v>
      </c>
      <c r="E55" s="15">
        <f>+H36</f>
        <v>10</v>
      </c>
      <c r="F55" s="181"/>
      <c r="I55" t="s">
        <v>102</v>
      </c>
      <c r="J55" t="s">
        <v>103</v>
      </c>
    </row>
    <row r="56" spans="2:16" ht="14.65" thickBot="1">
      <c r="B56" s="184"/>
      <c r="C56" s="182" t="s">
        <v>104</v>
      </c>
      <c r="D56" s="7">
        <v>0.4</v>
      </c>
      <c r="E56" s="201">
        <f>+H27</f>
        <v>81.443730801132688</v>
      </c>
      <c r="F56" s="181"/>
      <c r="I56" s="8" t="s">
        <v>105</v>
      </c>
      <c r="J56" t="s">
        <v>106</v>
      </c>
    </row>
    <row r="57" spans="2:16" ht="14.65" thickBot="1">
      <c r="B57" s="192"/>
      <c r="E57" s="193" t="s">
        <v>89</v>
      </c>
      <c r="F57" s="195">
        <f xml:space="preserve"> E55*D55 + E56*D56</f>
        <v>38.577492320453075</v>
      </c>
      <c r="I57" s="8" t="s">
        <v>107</v>
      </c>
      <c r="J57" t="s">
        <v>108</v>
      </c>
    </row>
    <row r="58" spans="2:16">
      <c r="B58" s="198" t="s">
        <v>109</v>
      </c>
      <c r="C58" s="199"/>
      <c r="D58" s="189" t="s">
        <v>79</v>
      </c>
      <c r="E58" s="189" t="s">
        <v>40</v>
      </c>
      <c r="F58" s="183"/>
      <c r="I58" s="8" t="s">
        <v>110</v>
      </c>
      <c r="J58" t="s">
        <v>111</v>
      </c>
    </row>
    <row r="59" spans="2:16" ht="14.65" thickBot="1">
      <c r="B59" s="194"/>
      <c r="C59" s="182" t="s">
        <v>112</v>
      </c>
      <c r="D59" s="7">
        <v>1</v>
      </c>
      <c r="E59" s="2">
        <f>+H20</f>
        <v>30</v>
      </c>
      <c r="F59" s="181"/>
      <c r="I59" s="8" t="s">
        <v>113</v>
      </c>
      <c r="J59" t="s">
        <v>114</v>
      </c>
    </row>
    <row r="60" spans="2:16" ht="14.65" thickBot="1">
      <c r="B60" s="186"/>
      <c r="C60" s="187"/>
      <c r="D60" s="187"/>
      <c r="E60" s="188" t="s">
        <v>89</v>
      </c>
      <c r="F60" s="195">
        <f>+ E59*D59</f>
        <v>30</v>
      </c>
      <c r="I60" s="8" t="s">
        <v>115</v>
      </c>
      <c r="J60" t="s">
        <v>106</v>
      </c>
    </row>
    <row r="61" spans="2:16" ht="14.65" thickBot="1">
      <c r="I61" s="8" t="s">
        <v>350</v>
      </c>
      <c r="J61" t="s">
        <v>108</v>
      </c>
    </row>
    <row r="62" spans="2:16">
      <c r="E62" s="423" t="s">
        <v>116</v>
      </c>
      <c r="F62" s="424">
        <f>(F48*0.4)+
(F53*0.3)+
(F57*0.2)+
(F60*0.1)</f>
        <v>36.015498464090612</v>
      </c>
    </row>
    <row r="63" spans="2:16">
      <c r="E63" s="425" t="s">
        <v>117</v>
      </c>
      <c r="F63" s="426">
        <f>MIN(1000,MAX(0,F62*10))</f>
        <v>360.15498464090615</v>
      </c>
    </row>
    <row r="64" spans="2:16" ht="14.65" thickBot="1"/>
    <row r="65" spans="1:42" ht="27" thickBot="1">
      <c r="A65" s="453" t="s">
        <v>412</v>
      </c>
      <c r="B65" s="454"/>
      <c r="C65" s="454"/>
      <c r="D65" s="454"/>
      <c r="E65" s="454"/>
      <c r="F65" s="388"/>
      <c r="G65" s="388"/>
      <c r="H65" s="389"/>
      <c r="I65" s="386"/>
      <c r="J65" s="386"/>
      <c r="K65" s="386"/>
      <c r="L65" s="386"/>
      <c r="M65" s="386"/>
      <c r="N65" s="386"/>
      <c r="O65" s="386"/>
      <c r="P65" s="386"/>
      <c r="Q65" s="386"/>
      <c r="R65" s="386"/>
      <c r="S65" s="386"/>
      <c r="T65" s="386"/>
      <c r="U65" s="386"/>
      <c r="V65" s="386"/>
      <c r="W65" s="386"/>
      <c r="X65" s="386"/>
      <c r="Y65" s="386"/>
      <c r="Z65" s="386"/>
      <c r="AA65" s="386"/>
      <c r="AB65" s="386"/>
      <c r="AC65" s="386"/>
      <c r="AD65" s="386"/>
      <c r="AE65" s="386"/>
      <c r="AF65" s="386"/>
      <c r="AG65" s="386"/>
      <c r="AH65" s="386"/>
      <c r="AI65" s="386"/>
      <c r="AJ65" s="386"/>
      <c r="AK65" s="386"/>
      <c r="AL65" s="386"/>
      <c r="AM65" s="386"/>
      <c r="AN65" s="386"/>
      <c r="AO65" s="386"/>
      <c r="AP65" s="390"/>
    </row>
    <row r="66" spans="1:42" ht="42.75" customHeight="1" thickBot="1">
      <c r="B66" s="405" t="s">
        <v>1</v>
      </c>
      <c r="C66" s="406" t="s">
        <v>2</v>
      </c>
      <c r="D66" s="406" t="s">
        <v>3</v>
      </c>
      <c r="E66" s="406" t="s">
        <v>4</v>
      </c>
      <c r="F66" s="406" t="s">
        <v>5</v>
      </c>
      <c r="G66" s="406" t="s">
        <v>6</v>
      </c>
      <c r="H66" s="406" t="s">
        <v>7</v>
      </c>
      <c r="I66" s="407" t="s">
        <v>388</v>
      </c>
      <c r="J66" s="407" t="s">
        <v>385</v>
      </c>
      <c r="K66" s="406" t="s">
        <v>386</v>
      </c>
      <c r="L66" s="406" t="s">
        <v>391</v>
      </c>
      <c r="M66" s="406" t="s">
        <v>392</v>
      </c>
      <c r="N66" s="406" t="s">
        <v>389</v>
      </c>
      <c r="O66" s="406" t="s">
        <v>390</v>
      </c>
      <c r="P66" s="406" t="s">
        <v>11</v>
      </c>
      <c r="Q66" s="406" t="s">
        <v>12</v>
      </c>
      <c r="R66" s="406" t="s">
        <v>13</v>
      </c>
      <c r="S66" s="406" t="s">
        <v>14</v>
      </c>
      <c r="T66" s="406" t="s">
        <v>15</v>
      </c>
      <c r="U66" s="406" t="s">
        <v>16</v>
      </c>
      <c r="V66" s="408" t="s">
        <v>17</v>
      </c>
      <c r="X66" s="394" t="s">
        <v>18</v>
      </c>
      <c r="Y66" s="395" t="s">
        <v>19</v>
      </c>
      <c r="Z66" s="394" t="s">
        <v>20</v>
      </c>
    </row>
    <row r="67" spans="1:42" ht="27.75" thickBot="1">
      <c r="B67" s="248">
        <v>1</v>
      </c>
      <c r="C67" s="396" t="s">
        <v>379</v>
      </c>
      <c r="D67" s="397">
        <v>1462543.99</v>
      </c>
      <c r="E67" s="397">
        <v>166945.89000000001</v>
      </c>
      <c r="F67" s="398">
        <v>579596.02</v>
      </c>
      <c r="G67" s="397">
        <v>1875194.12</v>
      </c>
      <c r="H67" s="397">
        <v>859479.23</v>
      </c>
      <c r="I67" s="399">
        <v>22</v>
      </c>
      <c r="J67" s="399">
        <v>55</v>
      </c>
      <c r="K67" s="400">
        <v>0</v>
      </c>
      <c r="L67" s="400"/>
      <c r="M67" s="400"/>
      <c r="N67" s="400"/>
      <c r="O67" s="400"/>
      <c r="P67" s="401">
        <f t="shared" ref="P67" si="6">+F67/I67</f>
        <v>26345.273636363636</v>
      </c>
      <c r="Q67" s="401">
        <f t="shared" ref="Q67:Q72" si="7">+G67/J67</f>
        <v>34094.438545454548</v>
      </c>
      <c r="R67" s="397">
        <f t="shared" ref="R67:R72" si="8">+F67-G67</f>
        <v>-1295598.1000000001</v>
      </c>
      <c r="S67" s="402">
        <f t="shared" ref="S67:S72" si="9">+G67/F67</f>
        <v>3.2353467851625344</v>
      </c>
      <c r="T67" s="403">
        <f t="shared" ref="T67:T72" si="10">(+F67-G67)/F67</f>
        <v>-2.2353467851625344</v>
      </c>
      <c r="U67" s="400">
        <v>0</v>
      </c>
      <c r="V67" s="404">
        <v>26</v>
      </c>
      <c r="X67" s="12" t="s">
        <v>21</v>
      </c>
      <c r="Y67" s="13" t="s">
        <v>22</v>
      </c>
      <c r="Z67" s="12" t="s">
        <v>23</v>
      </c>
    </row>
    <row r="68" spans="1:42" ht="28.15" thickBot="1">
      <c r="B68" s="249">
        <v>2</v>
      </c>
      <c r="C68" s="301" t="s">
        <v>380</v>
      </c>
      <c r="D68" s="302">
        <v>166945.89000000001</v>
      </c>
      <c r="E68" s="302">
        <v>202793.05</v>
      </c>
      <c r="F68" s="303">
        <v>1512509</v>
      </c>
      <c r="G68" s="302">
        <v>1476661.84</v>
      </c>
      <c r="H68" s="302">
        <v>361328.5</v>
      </c>
      <c r="I68" s="304">
        <v>19</v>
      </c>
      <c r="J68" s="304">
        <v>42</v>
      </c>
      <c r="K68" s="305">
        <v>0</v>
      </c>
      <c r="L68" s="305"/>
      <c r="M68" s="305"/>
      <c r="N68" s="305"/>
      <c r="O68" s="305"/>
      <c r="P68" s="306">
        <f>+F68/I68</f>
        <v>79605.736842105267</v>
      </c>
      <c r="Q68" s="306">
        <f t="shared" si="7"/>
        <v>35158.615238095241</v>
      </c>
      <c r="R68" s="302">
        <f t="shared" si="8"/>
        <v>35847.159999999916</v>
      </c>
      <c r="S68" s="307">
        <f t="shared" si="9"/>
        <v>0.97629953937464176</v>
      </c>
      <c r="T68" s="308">
        <f t="shared" si="10"/>
        <v>2.3700460625358206E-2</v>
      </c>
      <c r="U68" s="305">
        <v>0</v>
      </c>
      <c r="V68" s="310">
        <v>401.19</v>
      </c>
      <c r="X68" s="12" t="s">
        <v>24</v>
      </c>
      <c r="Y68" s="13" t="s">
        <v>25</v>
      </c>
      <c r="Z68" s="12" t="s">
        <v>26</v>
      </c>
    </row>
    <row r="69" spans="1:42" ht="27.75" thickBot="1">
      <c r="B69" s="249">
        <v>3</v>
      </c>
      <c r="C69" s="301" t="s">
        <v>381</v>
      </c>
      <c r="D69" s="302">
        <v>202793.05</v>
      </c>
      <c r="E69" s="302">
        <v>295709.65000000002</v>
      </c>
      <c r="F69" s="303">
        <v>1975469.56</v>
      </c>
      <c r="G69" s="302">
        <v>1882552.96</v>
      </c>
      <c r="H69" s="302">
        <v>211801.49</v>
      </c>
      <c r="I69" s="304">
        <v>36</v>
      </c>
      <c r="J69" s="304">
        <v>64</v>
      </c>
      <c r="K69" s="305">
        <v>0</v>
      </c>
      <c r="L69" s="305"/>
      <c r="M69" s="305"/>
      <c r="N69" s="305"/>
      <c r="O69" s="305"/>
      <c r="P69" s="306">
        <f t="shared" ref="P69:P72" si="11">+F69/I69</f>
        <v>54874.154444444444</v>
      </c>
      <c r="Q69" s="306">
        <f t="shared" si="7"/>
        <v>29414.89</v>
      </c>
      <c r="R69" s="302">
        <f t="shared" si="8"/>
        <v>92916.600000000093</v>
      </c>
      <c r="S69" s="307">
        <f t="shared" si="9"/>
        <v>0.95296480296056796</v>
      </c>
      <c r="T69" s="308">
        <f t="shared" si="10"/>
        <v>4.7035197039432028E-2</v>
      </c>
      <c r="U69" s="305">
        <v>0</v>
      </c>
      <c r="V69" s="309"/>
      <c r="X69" s="12" t="s">
        <v>27</v>
      </c>
      <c r="Y69" s="13" t="s">
        <v>28</v>
      </c>
      <c r="Z69" s="14" t="s">
        <v>29</v>
      </c>
    </row>
    <row r="70" spans="1:42" ht="27.75" thickBot="1">
      <c r="B70" s="249">
        <v>4</v>
      </c>
      <c r="C70" s="301" t="s">
        <v>382</v>
      </c>
      <c r="D70" s="302">
        <v>295709.65000000002</v>
      </c>
      <c r="E70" s="302">
        <v>1320631.8700000001</v>
      </c>
      <c r="F70" s="302">
        <v>3192218.58</v>
      </c>
      <c r="G70" s="302">
        <v>2167296.36</v>
      </c>
      <c r="H70" s="302">
        <v>967239.28</v>
      </c>
      <c r="I70" s="304">
        <v>46</v>
      </c>
      <c r="J70" s="304">
        <v>73</v>
      </c>
      <c r="K70" s="305">
        <v>0</v>
      </c>
      <c r="L70" s="305"/>
      <c r="M70" s="305"/>
      <c r="N70" s="305"/>
      <c r="O70" s="305"/>
      <c r="P70" s="306">
        <f t="shared" si="11"/>
        <v>69396.056086956523</v>
      </c>
      <c r="Q70" s="306">
        <f t="shared" si="7"/>
        <v>29688.99123287671</v>
      </c>
      <c r="R70" s="302">
        <f t="shared" si="8"/>
        <v>1024922.2200000002</v>
      </c>
      <c r="S70" s="307">
        <f t="shared" si="9"/>
        <v>0.6789310649272644</v>
      </c>
      <c r="T70" s="308">
        <f t="shared" si="10"/>
        <v>0.3210689350727356</v>
      </c>
      <c r="U70" s="305">
        <v>0</v>
      </c>
      <c r="V70" s="310">
        <v>390</v>
      </c>
      <c r="X70" s="12" t="s">
        <v>30</v>
      </c>
      <c r="Y70" s="13" t="s">
        <v>31</v>
      </c>
      <c r="Z70" s="12" t="s">
        <v>32</v>
      </c>
    </row>
    <row r="71" spans="1:42" ht="14.65" thickBot="1">
      <c r="B71" s="249">
        <v>5</v>
      </c>
      <c r="C71" s="301" t="s">
        <v>383</v>
      </c>
      <c r="D71" s="302">
        <v>1320631.8700000001</v>
      </c>
      <c r="E71" s="302">
        <v>1653077.48</v>
      </c>
      <c r="F71" s="302">
        <v>2115083.37</v>
      </c>
      <c r="G71" s="302">
        <v>1782637.76</v>
      </c>
      <c r="H71" s="302">
        <v>1446095.94</v>
      </c>
      <c r="I71" s="304">
        <v>25</v>
      </c>
      <c r="J71" s="304">
        <v>47</v>
      </c>
      <c r="K71" s="305"/>
      <c r="L71" s="305"/>
      <c r="M71" s="305"/>
      <c r="N71" s="305"/>
      <c r="O71" s="305"/>
      <c r="P71" s="306">
        <f t="shared" si="11"/>
        <v>84603.334800000011</v>
      </c>
      <c r="Q71" s="306">
        <f t="shared" si="7"/>
        <v>37928.462978723408</v>
      </c>
      <c r="R71" s="302">
        <f t="shared" si="8"/>
        <v>332445.6100000001</v>
      </c>
      <c r="S71" s="307">
        <f t="shared" si="9"/>
        <v>0.84282151015163054</v>
      </c>
      <c r="T71" s="308">
        <f t="shared" si="10"/>
        <v>0.15717848984836946</v>
      </c>
      <c r="U71" s="305"/>
      <c r="V71" s="303">
        <v>1067.03</v>
      </c>
      <c r="X71" s="12"/>
      <c r="Y71" s="13"/>
      <c r="Z71" s="12"/>
    </row>
    <row r="72" spans="1:42" ht="27.75" thickBot="1">
      <c r="B72" s="250">
        <v>6</v>
      </c>
      <c r="C72" s="301" t="s">
        <v>384</v>
      </c>
      <c r="D72" s="302">
        <v>1653077.48</v>
      </c>
      <c r="E72" s="302">
        <v>1608251.7</v>
      </c>
      <c r="F72" s="302">
        <v>1950984.04</v>
      </c>
      <c r="G72" s="302">
        <v>1995809.82</v>
      </c>
      <c r="H72" s="302">
        <v>1477913.38</v>
      </c>
      <c r="I72" s="304">
        <v>24</v>
      </c>
      <c r="J72" s="304">
        <v>52</v>
      </c>
      <c r="K72" s="305">
        <v>0</v>
      </c>
      <c r="L72" s="305"/>
      <c r="M72" s="305"/>
      <c r="N72" s="305"/>
      <c r="O72" s="305"/>
      <c r="P72" s="306">
        <f t="shared" si="11"/>
        <v>81291.001666666663</v>
      </c>
      <c r="Q72" s="306">
        <f t="shared" si="7"/>
        <v>38380.958076923082</v>
      </c>
      <c r="R72" s="302">
        <f t="shared" si="8"/>
        <v>-44825.780000000028</v>
      </c>
      <c r="S72" s="307">
        <f t="shared" si="9"/>
        <v>1.0229759849803794</v>
      </c>
      <c r="T72" s="308">
        <f t="shared" si="10"/>
        <v>-2.2975984980379453E-2</v>
      </c>
      <c r="U72" s="305">
        <v>0</v>
      </c>
      <c r="V72" s="309">
        <v>390</v>
      </c>
      <c r="X72" s="12" t="s">
        <v>33</v>
      </c>
      <c r="Y72" s="13" t="s">
        <v>34</v>
      </c>
      <c r="Z72" s="12" t="s">
        <v>35</v>
      </c>
    </row>
    <row r="73" spans="1:42">
      <c r="C73" s="270" t="s">
        <v>36</v>
      </c>
      <c r="D73" s="262"/>
      <c r="E73" s="262"/>
      <c r="F73" s="271">
        <f>SUM(F67:F72)</f>
        <v>11325860.57</v>
      </c>
      <c r="G73" s="271">
        <f>SUM(G67:G72)</f>
        <v>11180152.859999999</v>
      </c>
      <c r="I73" s="2"/>
      <c r="J73" s="2"/>
      <c r="Q73" s="264"/>
      <c r="R73" s="262"/>
      <c r="S73" s="266"/>
      <c r="T73" s="267"/>
    </row>
    <row r="74" spans="1:42" ht="14.65" thickBot="1">
      <c r="D74" s="262"/>
      <c r="E74" s="262"/>
      <c r="I74" s="2"/>
      <c r="J74" s="2"/>
      <c r="P74" s="263"/>
      <c r="Q74" s="264"/>
      <c r="R74" s="262"/>
      <c r="S74" s="266"/>
      <c r="T74" s="267"/>
      <c r="X74" s="268"/>
      <c r="Y74" s="269"/>
      <c r="Z74" s="268"/>
    </row>
    <row r="75" spans="1:42" ht="14.65" thickBot="1">
      <c r="C75" s="16" t="s">
        <v>37</v>
      </c>
      <c r="D75" s="272"/>
      <c r="E75" s="272">
        <f>+G81</f>
        <v>874568.27333333343</v>
      </c>
      <c r="F75" s="272">
        <f>+G80</f>
        <v>1887643.4283333335</v>
      </c>
      <c r="G75" s="273">
        <f>+AVERAGE(G67:G72)</f>
        <v>1863358.8099999998</v>
      </c>
      <c r="I75" s="276">
        <f>+AVERAGE(I67:I72)</f>
        <v>28.666666666666668</v>
      </c>
      <c r="J75" s="277">
        <f>+AVERAGE(J67:J72)</f>
        <v>55.5</v>
      </c>
      <c r="P75" s="311">
        <f>+AVERAGE(P67:P72)</f>
        <v>66019.259579422753</v>
      </c>
      <c r="Q75" s="272">
        <f>+AVERAGE(Q67:Q72)</f>
        <v>34111.0593453455</v>
      </c>
      <c r="R75" s="273">
        <f>+AVERAGE(R67:R72)</f>
        <v>24284.618333333365</v>
      </c>
      <c r="S75" s="9"/>
      <c r="T75" s="9"/>
      <c r="X75" s="268"/>
      <c r="Y75" s="269"/>
      <c r="Z75" s="268"/>
    </row>
    <row r="76" spans="1:42" ht="14.65" thickBot="1">
      <c r="C76" s="6" t="s">
        <v>38</v>
      </c>
      <c r="D76" s="274"/>
      <c r="E76" s="274">
        <f>(E67*0.05)+(E68*0.1)+(E69*0.1)+(E70*0.15)+(E71*0.25)+(E72*0.35)</f>
        <v>1232449.81</v>
      </c>
      <c r="F76" s="274">
        <f>(F67*0.05)+(F68*0.1)+(F69*0.1)+(F70*0.15)+(F71*0.25)+(F72*0.35)</f>
        <v>2068225.7004999998</v>
      </c>
      <c r="G76" s="275">
        <f>(G67*0.05)+(G68*0.1)+(G69*0.1)+(G70*0.15)+(G71*0.25)+(G72*0.35)</f>
        <v>1898968.517</v>
      </c>
      <c r="I76" s="9"/>
      <c r="P76" s="312">
        <f>(P67*0.05)+(P68*0.1)+(P69*0.1)+(P70*0.15)+(P71*0.25)+(P72*0.35)</f>
        <v>74777.345506849961</v>
      </c>
      <c r="Q76" s="274">
        <f>(Q67*0.05)+(Q68*0.1)+(Q69*0.1)+(Q70*0.15)+(Q71*0.25)+(Q72*0.35)</f>
        <v>35530.872207617685</v>
      </c>
      <c r="R76" s="275">
        <f>(R67*0.05)+(R68*0.1)+(R69*0.1)+(R70*0.15)+(R71*0.25)+(R72*0.35)</f>
        <v>169257.18350000001</v>
      </c>
      <c r="S76" s="9"/>
      <c r="T76" s="9"/>
    </row>
    <row r="77" spans="1:42" ht="14.65" thickBot="1"/>
    <row r="78" spans="1:42" ht="14.65" thickBot="1">
      <c r="D78" s="283" t="s">
        <v>39</v>
      </c>
      <c r="E78" s="284"/>
      <c r="F78" s="284"/>
      <c r="G78" s="422">
        <v>13676.64</v>
      </c>
    </row>
    <row r="79" spans="1:42" ht="14.65" thickBot="1">
      <c r="G79" s="278"/>
      <c r="H79" s="18" t="s">
        <v>40</v>
      </c>
    </row>
    <row r="80" spans="1:42">
      <c r="D80" s="16" t="s">
        <v>387</v>
      </c>
      <c r="E80" s="286"/>
      <c r="F80" s="286"/>
      <c r="G80" s="287">
        <f>+AVERAGE(F67:F72)</f>
        <v>1887643.4283333335</v>
      </c>
      <c r="H80" s="288"/>
      <c r="I80" s="17" t="s">
        <v>41</v>
      </c>
    </row>
    <row r="81" spans="2:19">
      <c r="D81" s="3" t="s">
        <v>18</v>
      </c>
      <c r="G81" s="279">
        <f>+AVERAGE(E67:E72)</f>
        <v>874568.27333333343</v>
      </c>
      <c r="H81" s="289"/>
      <c r="I81" t="s">
        <v>42</v>
      </c>
    </row>
    <row r="82" spans="2:19">
      <c r="D82" s="3" t="s">
        <v>43</v>
      </c>
      <c r="G82" s="279">
        <f>(E72*0.5)+(E71*0.3)+(E70*0.2)</f>
        <v>1564175.4680000001</v>
      </c>
      <c r="H82" s="289"/>
    </row>
    <row r="83" spans="2:19">
      <c r="D83" s="3" t="s">
        <v>44</v>
      </c>
      <c r="G83" s="279">
        <f>AVERAGE(E67:E69)</f>
        <v>221816.19666666668</v>
      </c>
      <c r="H83" s="289"/>
    </row>
    <row r="84" spans="2:19">
      <c r="D84" s="369" t="s">
        <v>410</v>
      </c>
      <c r="G84" s="449">
        <f>(AVERAGE(H70:H72) - AVERAGE(H67:H69)) / MAX(ABS(AVERAGE(H67:H69)), 1000)</f>
        <v>1.716196814648449</v>
      </c>
      <c r="H84" s="4">
        <f>IF(G84&gt;=1.2,100,IF(G84&gt;=1,80,IF(G84&gt;=0.8,50,IF(G84&gt;=0.5,30,IF(G84&gt;=0.2,0,-20)))))</f>
        <v>100</v>
      </c>
      <c r="I84" s="501" t="s">
        <v>354</v>
      </c>
      <c r="J84" s="502"/>
      <c r="K84" s="502"/>
      <c r="L84" s="502"/>
      <c r="M84" s="502"/>
      <c r="N84" s="502"/>
      <c r="O84" s="502"/>
      <c r="P84" s="502"/>
    </row>
    <row r="85" spans="2:19">
      <c r="D85" s="369" t="s">
        <v>411</v>
      </c>
      <c r="E85" s="23"/>
      <c r="F85" s="23"/>
      <c r="G85" s="370">
        <f>(AVERAGE(R70:R72) - AVERAGE(R67:R69)) / MAX(ABS(AVERAGE(R67:R69)), 1000)</f>
        <v>2.1248743759118374</v>
      </c>
      <c r="H85" s="202">
        <f>IF(G85&gt;=1.2,100,IF(G85&gt;=1,80,IF(G85&gt;=0.8,50,IF(G85&gt;=0.5,30,IF(G85&gt;=0.2,0,-20)))))</f>
        <v>100</v>
      </c>
      <c r="I85" s="502"/>
      <c r="J85" s="502"/>
      <c r="K85" s="502"/>
      <c r="L85" s="502"/>
      <c r="M85" s="502"/>
      <c r="N85" s="502"/>
      <c r="O85" s="502"/>
      <c r="P85" s="502"/>
    </row>
    <row r="86" spans="2:19">
      <c r="D86" s="3" t="s">
        <v>45</v>
      </c>
      <c r="G86" s="265">
        <f>(SUM(F67:F72)*G106)/6</f>
        <v>154478.88983042049</v>
      </c>
      <c r="H86" s="290"/>
      <c r="I86" t="s">
        <v>46</v>
      </c>
    </row>
    <row r="87" spans="2:19">
      <c r="D87" s="3" t="s">
        <v>47</v>
      </c>
      <c r="G87" s="265">
        <f>(R67*0.05)+(R68*0.1)+(R69*0.1)+(R70*0.15)+(R71*0.25)+(R72*0.35)</f>
        <v>169257.18350000001</v>
      </c>
      <c r="H87" s="290"/>
      <c r="I87" t="s">
        <v>48</v>
      </c>
    </row>
    <row r="88" spans="2:19">
      <c r="D88" s="3" t="s">
        <v>49</v>
      </c>
      <c r="F88" s="280" t="str">
        <f>+IF(G88&lt;0.75,"Muy Sano",IF(G88&lt;0.85,"Sano",IF(G88&lt;0.95,"Presionado",IF(G88&gt;0.95,"Riesgoso"))))</f>
        <v>Riesgoso</v>
      </c>
      <c r="G88" s="281">
        <f>(S67*0.05)+(S68*0.1)+(S69*0.1)+(S70*0.15)+(S71*0.25)+(S72*0.35)</f>
        <v>1.0252804055117779</v>
      </c>
      <c r="H88" s="4">
        <f>+IF(G88&lt;0.75,100,IF(G88&lt;0.8,80,IF(G88&lt;0.85,50,IF(G88&lt;0.9,30,IF(G88&lt;0.95,15,IF(G88&lt;1,0,-20))))))</f>
        <v>-20</v>
      </c>
      <c r="I88" t="s">
        <v>50</v>
      </c>
      <c r="S88" t="s">
        <v>355</v>
      </c>
    </row>
    <row r="89" spans="2:19">
      <c r="D89" s="3" t="s">
        <v>21</v>
      </c>
      <c r="G89" s="282">
        <f>+SUM(K67:K72)</f>
        <v>0</v>
      </c>
      <c r="H89" s="289"/>
      <c r="I89" t="s">
        <v>51</v>
      </c>
    </row>
    <row r="90" spans="2:19">
      <c r="D90" s="3" t="s">
        <v>52</v>
      </c>
      <c r="G90" s="15">
        <f>AVERAGE(E67:E72)/AVERAGE(F67:F72)</f>
        <v>0.46331222316998738</v>
      </c>
      <c r="H90" s="4">
        <f>+IF(G90&gt;15%,100,IF(G90&gt;10%,80,IF(G90&gt;5%,60,IF(G90&gt;3%,50,IF(G90&gt;1.5%,20,IF(G90&lt;1.5%,10,IF(G90=0,0,-10)))))))</f>
        <v>100</v>
      </c>
      <c r="I90" t="s">
        <v>53</v>
      </c>
    </row>
    <row r="91" spans="2:19" ht="14.65" thickBot="1">
      <c r="D91" s="6" t="s">
        <v>54</v>
      </c>
      <c r="E91" s="291"/>
      <c r="F91" s="291"/>
      <c r="G91" s="292">
        <f>1 - (STDEV(F67:F72)/AVERAGE(F67:F72))</f>
        <v>0.5494174491345073</v>
      </c>
      <c r="H91" s="293">
        <f>MAX(0,MIN(100,G91*100))</f>
        <v>54.941744913450727</v>
      </c>
      <c r="I91" t="s">
        <v>55</v>
      </c>
    </row>
    <row r="92" spans="2:19" ht="14.65" thickBot="1">
      <c r="H92" s="18" t="s">
        <v>40</v>
      </c>
    </row>
    <row r="93" spans="2:19">
      <c r="B93" s="503"/>
      <c r="C93" s="504"/>
      <c r="D93" s="324"/>
      <c r="E93" s="324"/>
      <c r="F93" s="286"/>
      <c r="G93" s="325"/>
      <c r="H93" s="325"/>
    </row>
    <row r="94" spans="2:19">
      <c r="B94" s="489"/>
      <c r="C94" s="490"/>
      <c r="F94" s="8"/>
      <c r="G94" s="294"/>
      <c r="H94" s="294"/>
    </row>
    <row r="95" spans="2:19">
      <c r="B95" s="493" t="s">
        <v>56</v>
      </c>
      <c r="C95" s="494"/>
      <c r="D95" t="s">
        <v>57</v>
      </c>
      <c r="F95" s="8"/>
      <c r="G95" s="294">
        <f>(SUM(E67:E72)-MAX(E67:E72)-MIN(E67:E72))/(COUNT(E67:E72)-2)</f>
        <v>856846.56750000012</v>
      </c>
      <c r="H95" s="295"/>
      <c r="I95" t="s">
        <v>58</v>
      </c>
    </row>
    <row r="96" spans="2:19">
      <c r="B96" s="493" t="s">
        <v>56</v>
      </c>
      <c r="C96" s="494"/>
      <c r="D96" t="s">
        <v>59</v>
      </c>
      <c r="F96" s="8"/>
      <c r="G96" s="294">
        <f>+G95/G78</f>
        <v>62.65037081476153</v>
      </c>
      <c r="H96" s="295">
        <f>IF(G96&lt;0.5,0,IF(G96&lt;1,20,IF(G96&lt;2,50,IF(G96&lt;3,70,IF(G96&lt;5,90,100)))))</f>
        <v>100</v>
      </c>
      <c r="I96" t="s">
        <v>60</v>
      </c>
    </row>
    <row r="97" spans="2:21">
      <c r="B97" s="487" t="s">
        <v>61</v>
      </c>
      <c r="C97" s="488"/>
      <c r="D97" t="s">
        <v>30</v>
      </c>
      <c r="G97" s="294">
        <f>_xlfn.STDEV.S(F67:F72)/AVERAGE(F67:F72)</f>
        <v>0.4505825508654927</v>
      </c>
      <c r="H97" s="294">
        <f>MAX(0,100-(G97*40))</f>
        <v>81.976697965380296</v>
      </c>
      <c r="I97" s="17" t="s">
        <v>62</v>
      </c>
    </row>
    <row r="98" spans="2:21">
      <c r="B98" s="505" t="s">
        <v>63</v>
      </c>
      <c r="C98" s="506"/>
      <c r="D98" t="s">
        <v>64</v>
      </c>
      <c r="G98" s="316">
        <f>((E72+E71+E70)/3)/((E67+E68+E69)/3)</f>
        <v>6.8855222159235456</v>
      </c>
      <c r="H98" s="374" t="str">
        <f>IF(G98&gt;=1.2,"liquidez mejora fuerte",IF(G98&gt;=1,"liquidez estable",IF(G98&gt;=0.8,"liquidez deteriora leve","liquidez deteriora fuerte")))</f>
        <v>liquidez mejora fuerte</v>
      </c>
      <c r="I98" t="s">
        <v>65</v>
      </c>
    </row>
    <row r="99" spans="2:21">
      <c r="B99" s="489"/>
      <c r="C99" s="490"/>
      <c r="G99" s="294"/>
      <c r="H99" s="294"/>
    </row>
    <row r="100" spans="2:21">
      <c r="B100" s="487" t="s">
        <v>61</v>
      </c>
      <c r="C100" s="488"/>
      <c r="D100" t="s">
        <v>66</v>
      </c>
      <c r="G100" s="294">
        <f>MIN(3,STDEV(R67:R72)/MAX(ABS(AVERAGE(R67:R72)),1000))</f>
        <v>3</v>
      </c>
      <c r="H100" s="294">
        <f>MAX(0,100-(G100*30))</f>
        <v>10</v>
      </c>
      <c r="I100" t="s">
        <v>67</v>
      </c>
      <c r="R100" t="s">
        <v>68</v>
      </c>
    </row>
    <row r="101" spans="2:21">
      <c r="B101" s="489"/>
      <c r="C101" s="490"/>
      <c r="G101" s="294"/>
      <c r="H101" s="294"/>
    </row>
    <row r="102" spans="2:21">
      <c r="B102" s="491" t="s">
        <v>69</v>
      </c>
      <c r="C102" s="492"/>
      <c r="D102" t="s">
        <v>70</v>
      </c>
      <c r="F102" s="7"/>
      <c r="G102" s="294">
        <f>G86-(STDEV(R67:R72)*0.25)</f>
        <v>-34199.059505354817</v>
      </c>
      <c r="H102" s="294"/>
      <c r="I102" t="s">
        <v>71</v>
      </c>
    </row>
    <row r="103" spans="2:21">
      <c r="B103" s="491" t="s">
        <v>69</v>
      </c>
      <c r="C103" s="492"/>
      <c r="D103" t="s">
        <v>72</v>
      </c>
      <c r="F103" s="7"/>
      <c r="G103" s="294">
        <f>+G102/G78</f>
        <v>-2.5005454194418233</v>
      </c>
      <c r="H103" s="296"/>
      <c r="I103" t="s">
        <v>73</v>
      </c>
      <c r="U103" t="s">
        <v>353</v>
      </c>
    </row>
    <row r="104" spans="2:21">
      <c r="B104" s="491" t="s">
        <v>69</v>
      </c>
      <c r="C104" s="492"/>
      <c r="D104" t="s">
        <v>74</v>
      </c>
      <c r="G104" s="297">
        <f>+G103/P109</f>
        <v>-1.0002181677767292</v>
      </c>
      <c r="H104" s="294">
        <f>IF((G103/P109)&gt;=1.5,100,IF((G103/P109)&gt;=1.2,80,IF((G103/P109)&gt;=1,60,IF((G103/P109)&gt;=0.8,40,0))))</f>
        <v>0</v>
      </c>
    </row>
    <row r="105" spans="2:21">
      <c r="B105" s="493" t="s">
        <v>56</v>
      </c>
      <c r="C105" s="494"/>
      <c r="D105" t="s">
        <v>75</v>
      </c>
      <c r="F105" s="7"/>
      <c r="G105" s="294">
        <f>SUM(F67:F72)/SUM(G67:G72)</f>
        <v>1.0130327117906688</v>
      </c>
      <c r="H105" s="294">
        <f>IF(G105&gt;=1.1,100,IF(G105&gt;=1.05,80,IF(G105&gt;=1,70,IF(G105&gt;=0.95,50,IF(G105&gt;=0.85,35,10)))))</f>
        <v>70</v>
      </c>
      <c r="I105" t="s">
        <v>76</v>
      </c>
      <c r="Q105" t="s">
        <v>359</v>
      </c>
    </row>
    <row r="106" spans="2:21" ht="14.65" thickBot="1">
      <c r="B106" s="495" t="s">
        <v>69</v>
      </c>
      <c r="C106" s="496"/>
      <c r="D106" s="291" t="s">
        <v>15</v>
      </c>
      <c r="E106" s="291"/>
      <c r="F106" s="298"/>
      <c r="G106" s="299">
        <f>+(F76-G76)/F76</f>
        <v>8.1836901774831133E-2</v>
      </c>
      <c r="H106" s="300">
        <f>IF(G106&gt;=0.2,100,
IF(G106&gt;=0.1,80,
IF(G106&gt;=0.05,60,
IF(G106&gt;=0,40,
IF(G106&gt;=-0.05,20,0)))))</f>
        <v>60</v>
      </c>
      <c r="I106" t="s">
        <v>77</v>
      </c>
    </row>
    <row r="107" spans="2:21" ht="14.65" thickBot="1"/>
    <row r="108" spans="2:21">
      <c r="B108" s="497" t="s">
        <v>78</v>
      </c>
      <c r="C108" s="498"/>
      <c r="D108" s="189" t="s">
        <v>79</v>
      </c>
      <c r="E108" s="189" t="s">
        <v>40</v>
      </c>
      <c r="F108" s="183"/>
      <c r="I108" s="253" t="s">
        <v>80</v>
      </c>
      <c r="J108" s="375">
        <v>3</v>
      </c>
      <c r="K108" s="256" t="s">
        <v>81</v>
      </c>
      <c r="L108" s="256"/>
      <c r="M108" s="256"/>
      <c r="N108" s="256"/>
      <c r="O108" s="256"/>
      <c r="P108" s="254" t="s">
        <v>82</v>
      </c>
      <c r="Q108" s="254" t="s">
        <v>83</v>
      </c>
    </row>
    <row r="109" spans="2:21">
      <c r="B109" s="184"/>
      <c r="C109" s="182" t="s">
        <v>84</v>
      </c>
      <c r="D109" s="185">
        <v>0.6</v>
      </c>
      <c r="E109" s="15">
        <f>+H104</f>
        <v>0</v>
      </c>
      <c r="F109" s="181"/>
      <c r="I109" s="24" t="s">
        <v>85</v>
      </c>
      <c r="J109" s="4">
        <v>2.75</v>
      </c>
      <c r="K109" s="421">
        <v>48</v>
      </c>
      <c r="L109" s="256"/>
      <c r="M109" s="256"/>
      <c r="N109" s="256"/>
      <c r="O109" s="256"/>
      <c r="P109" s="254">
        <f>+IF(K109&lt;=24,J108,IF(K109&lt;=36,J109,IF(K109&lt;=48,J110,IF(K109&lt;=60,J111,"2"))))</f>
        <v>2.5</v>
      </c>
      <c r="Q109" s="255">
        <f>+IF(K109&lt;24,30.2%,IF(K109&lt;36,26%,IF(K109&lt;48,24.55%,IF(K109&lt;60,23.82%,"0%"))))</f>
        <v>0.2382</v>
      </c>
    </row>
    <row r="110" spans="2:21">
      <c r="B110" s="184"/>
      <c r="C110" s="182" t="s">
        <v>86</v>
      </c>
      <c r="D110" s="185">
        <v>0.25</v>
      </c>
      <c r="E110" s="15">
        <f>+H88</f>
        <v>-20</v>
      </c>
      <c r="F110" s="181"/>
      <c r="I110" s="24" t="s">
        <v>87</v>
      </c>
      <c r="J110" s="4">
        <v>2.5</v>
      </c>
    </row>
    <row r="111" spans="2:21" ht="14.65" thickBot="1">
      <c r="B111" s="184"/>
      <c r="C111" s="182" t="s">
        <v>15</v>
      </c>
      <c r="D111" s="185">
        <v>0.15</v>
      </c>
      <c r="E111" s="15">
        <f>+H106</f>
        <v>60</v>
      </c>
      <c r="F111" s="181"/>
      <c r="I111" s="50" t="s">
        <v>88</v>
      </c>
      <c r="J111" s="317">
        <v>2.25</v>
      </c>
    </row>
    <row r="112" spans="2:21" ht="14.65" thickBot="1">
      <c r="B112" s="186"/>
      <c r="C112" s="187"/>
      <c r="D112" s="187"/>
      <c r="E112" s="188" t="s">
        <v>89</v>
      </c>
      <c r="F112" s="195">
        <f>E109*D109 + E110*D110 + E111*D111</f>
        <v>4</v>
      </c>
    </row>
    <row r="113" spans="2:16" ht="14.65" thickBot="1">
      <c r="B113" s="499" t="s">
        <v>90</v>
      </c>
      <c r="C113" s="500"/>
      <c r="D113" s="189" t="s">
        <v>79</v>
      </c>
      <c r="E113" s="189" t="s">
        <v>40</v>
      </c>
      <c r="F113" s="183"/>
      <c r="H113" s="9"/>
      <c r="I113" s="313" t="s">
        <v>91</v>
      </c>
      <c r="J113" s="314"/>
      <c r="K113" s="315" t="s">
        <v>92</v>
      </c>
      <c r="L113" s="410"/>
      <c r="M113" s="410"/>
      <c r="N113" s="410"/>
      <c r="O113" s="410"/>
      <c r="P113" s="314"/>
    </row>
    <row r="114" spans="2:16">
      <c r="B114" s="184"/>
      <c r="C114" s="182" t="s">
        <v>93</v>
      </c>
      <c r="D114" s="190">
        <v>0.5</v>
      </c>
      <c r="E114" s="15">
        <f>+H96</f>
        <v>100</v>
      </c>
      <c r="F114" s="181"/>
      <c r="H114" s="182" t="s">
        <v>94</v>
      </c>
      <c r="I114" s="476">
        <f>+G81/P109</f>
        <v>349827.3093333334</v>
      </c>
      <c r="J114" s="477"/>
      <c r="K114" s="478">
        <f>ABS(PV(Q109/12,K109,I114))</f>
        <v>10763120.716598012</v>
      </c>
      <c r="L114" s="479"/>
      <c r="M114" s="479"/>
      <c r="N114" s="479"/>
      <c r="O114" s="479"/>
      <c r="P114" s="480"/>
    </row>
    <row r="115" spans="2:16">
      <c r="B115" s="184"/>
      <c r="C115" s="182" t="s">
        <v>95</v>
      </c>
      <c r="D115" s="190">
        <v>0.3</v>
      </c>
      <c r="E115" s="15">
        <f>+H105</f>
        <v>70</v>
      </c>
      <c r="F115" s="181"/>
      <c r="H115" s="182" t="s">
        <v>96</v>
      </c>
      <c r="I115" s="476">
        <f>+G80/P109</f>
        <v>755057.37133333343</v>
      </c>
      <c r="J115" s="477"/>
      <c r="K115" s="478">
        <f>ABS(PV(Q109/12,K109,I115))</f>
        <v>23230815.37317669</v>
      </c>
      <c r="L115" s="479"/>
      <c r="M115" s="479"/>
      <c r="N115" s="479"/>
      <c r="O115" s="479"/>
      <c r="P115" s="480"/>
    </row>
    <row r="116" spans="2:16" ht="14.65" thickBot="1">
      <c r="B116" s="184"/>
      <c r="C116" s="8" t="s">
        <v>97</v>
      </c>
      <c r="D116" s="185">
        <v>0.2</v>
      </c>
      <c r="E116" s="15">
        <f>+H90</f>
        <v>100</v>
      </c>
      <c r="F116" s="181"/>
      <c r="H116" s="257" t="s">
        <v>98</v>
      </c>
      <c r="I116" s="481">
        <f>+G82/P109</f>
        <v>625670.18720000004</v>
      </c>
      <c r="J116" s="482"/>
      <c r="K116" s="483">
        <f>ABS(PV(Q109/12,K109,I116))</f>
        <v>19249965.837268069</v>
      </c>
      <c r="L116" s="484"/>
      <c r="M116" s="484"/>
      <c r="N116" s="484"/>
      <c r="O116" s="484"/>
      <c r="P116" s="485"/>
    </row>
    <row r="117" spans="2:16" ht="14.65" thickBot="1">
      <c r="B117" s="191"/>
      <c r="C117" s="182"/>
      <c r="D117" s="187"/>
      <c r="E117" s="188" t="s">
        <v>89</v>
      </c>
      <c r="F117" s="195">
        <f xml:space="preserve"> E114*D114 + E115*D115+E116*D116</f>
        <v>91</v>
      </c>
    </row>
    <row r="118" spans="2:16">
      <c r="B118" s="196" t="s">
        <v>99</v>
      </c>
      <c r="C118" s="197"/>
      <c r="D118" s="189" t="s">
        <v>79</v>
      </c>
      <c r="E118" s="189" t="s">
        <v>40</v>
      </c>
      <c r="F118" s="183"/>
      <c r="I118" s="486" t="s">
        <v>100</v>
      </c>
      <c r="J118" s="486"/>
      <c r="P118" s="8"/>
    </row>
    <row r="119" spans="2:16">
      <c r="B119" s="184"/>
      <c r="C119" s="182" t="s">
        <v>101</v>
      </c>
      <c r="D119" s="7">
        <v>0.6</v>
      </c>
      <c r="E119" s="15">
        <f>+H100</f>
        <v>10</v>
      </c>
      <c r="F119" s="181"/>
      <c r="I119" t="s">
        <v>102</v>
      </c>
      <c r="J119" t="s">
        <v>103</v>
      </c>
    </row>
    <row r="120" spans="2:16" ht="14.65" thickBot="1">
      <c r="B120" s="184"/>
      <c r="C120" s="182" t="s">
        <v>104</v>
      </c>
      <c r="D120" s="7">
        <v>0.4</v>
      </c>
      <c r="E120" s="201">
        <f>+H91</f>
        <v>54.941744913450727</v>
      </c>
      <c r="F120" s="181"/>
      <c r="I120" s="8" t="s">
        <v>105</v>
      </c>
      <c r="J120" t="s">
        <v>106</v>
      </c>
    </row>
    <row r="121" spans="2:16" ht="14.65" thickBot="1">
      <c r="B121" s="192"/>
      <c r="E121" s="193" t="s">
        <v>89</v>
      </c>
      <c r="F121" s="195">
        <f xml:space="preserve"> E119*D119 + E120*D120</f>
        <v>27.976697965380293</v>
      </c>
      <c r="I121" s="8" t="s">
        <v>107</v>
      </c>
      <c r="J121" t="s">
        <v>108</v>
      </c>
    </row>
    <row r="122" spans="2:16">
      <c r="B122" s="198" t="s">
        <v>109</v>
      </c>
      <c r="C122" s="199"/>
      <c r="D122" s="189" t="s">
        <v>79</v>
      </c>
      <c r="E122" s="189" t="s">
        <v>40</v>
      </c>
      <c r="F122" s="183"/>
      <c r="I122" s="8" t="s">
        <v>110</v>
      </c>
      <c r="J122" t="s">
        <v>111</v>
      </c>
    </row>
    <row r="123" spans="2:16" ht="14.65" thickBot="1">
      <c r="B123" s="194"/>
      <c r="C123" s="182" t="s">
        <v>112</v>
      </c>
      <c r="D123" s="7">
        <v>1</v>
      </c>
      <c r="E123" s="2">
        <f>+H84</f>
        <v>100</v>
      </c>
      <c r="F123" s="181"/>
      <c r="I123" s="8" t="s">
        <v>113</v>
      </c>
      <c r="J123" t="s">
        <v>114</v>
      </c>
    </row>
    <row r="124" spans="2:16" ht="14.65" thickBot="1">
      <c r="B124" s="186"/>
      <c r="C124" s="187"/>
      <c r="D124" s="187"/>
      <c r="E124" s="188" t="s">
        <v>89</v>
      </c>
      <c r="F124" s="195">
        <f>+ E123*D123</f>
        <v>100</v>
      </c>
      <c r="I124" s="8" t="s">
        <v>115</v>
      </c>
      <c r="J124" t="s">
        <v>106</v>
      </c>
    </row>
    <row r="125" spans="2:16" ht="14.65" thickBot="1">
      <c r="I125" s="8" t="s">
        <v>350</v>
      </c>
      <c r="J125" t="s">
        <v>108</v>
      </c>
    </row>
    <row r="126" spans="2:16">
      <c r="E126" s="423" t="s">
        <v>116</v>
      </c>
      <c r="F126" s="424">
        <f>(F112*0.4)+
(F117*0.3)+
(F121*0.2)+
(F124*0.1)</f>
        <v>44.495339593076061</v>
      </c>
    </row>
    <row r="127" spans="2:16">
      <c r="E127" s="425" t="s">
        <v>117</v>
      </c>
      <c r="F127" s="426">
        <f>MIN(1000,MAX(0,F126*10))</f>
        <v>444.95339593076062</v>
      </c>
    </row>
    <row r="128" spans="2:16" ht="14.65" thickBot="1"/>
    <row r="129" spans="1:42" ht="27" thickBot="1">
      <c r="A129" s="453" t="s">
        <v>408</v>
      </c>
      <c r="B129" s="454"/>
      <c r="C129" s="454"/>
      <c r="D129" s="454"/>
      <c r="E129" s="454"/>
      <c r="F129" s="388"/>
      <c r="G129" s="388"/>
      <c r="H129" s="389"/>
      <c r="I129" s="386"/>
      <c r="J129" s="386"/>
      <c r="K129" s="386"/>
      <c r="L129" s="386"/>
      <c r="M129" s="386"/>
      <c r="N129" s="386"/>
      <c r="O129" s="386"/>
      <c r="P129" s="386"/>
      <c r="Q129" s="386"/>
      <c r="R129" s="386"/>
      <c r="S129" s="386"/>
      <c r="T129" s="386"/>
      <c r="U129" s="386"/>
      <c r="V129" s="386"/>
      <c r="W129" s="386"/>
      <c r="X129" s="386"/>
      <c r="Y129" s="386"/>
      <c r="Z129" s="386"/>
      <c r="AA129" s="386"/>
      <c r="AB129" s="386"/>
      <c r="AC129" s="386"/>
      <c r="AD129" s="386"/>
      <c r="AE129" s="386"/>
      <c r="AF129" s="386"/>
      <c r="AG129" s="386"/>
      <c r="AH129" s="386"/>
      <c r="AI129" s="386"/>
      <c r="AJ129" s="386"/>
      <c r="AK129" s="386"/>
      <c r="AL129" s="386"/>
      <c r="AM129" s="386"/>
      <c r="AN129" s="386"/>
      <c r="AO129" s="386"/>
      <c r="AP129" s="390"/>
    </row>
    <row r="130" spans="1:42" ht="42.75" customHeight="1" thickBot="1">
      <c r="B130" s="405" t="s">
        <v>1</v>
      </c>
      <c r="C130" s="406" t="s">
        <v>2</v>
      </c>
      <c r="D130" s="406" t="s">
        <v>3</v>
      </c>
      <c r="E130" s="406" t="s">
        <v>4</v>
      </c>
      <c r="F130" s="406" t="s">
        <v>5</v>
      </c>
      <c r="G130" s="406" t="s">
        <v>6</v>
      </c>
      <c r="H130" s="406" t="s">
        <v>7</v>
      </c>
      <c r="I130" s="407" t="s">
        <v>388</v>
      </c>
      <c r="J130" s="407" t="s">
        <v>385</v>
      </c>
      <c r="K130" s="406" t="s">
        <v>386</v>
      </c>
      <c r="L130" s="406" t="s">
        <v>391</v>
      </c>
      <c r="M130" s="406" t="s">
        <v>392</v>
      </c>
      <c r="N130" s="406" t="s">
        <v>389</v>
      </c>
      <c r="O130" s="406" t="s">
        <v>390</v>
      </c>
      <c r="P130" s="406" t="s">
        <v>11</v>
      </c>
      <c r="Q130" s="406" t="s">
        <v>12</v>
      </c>
      <c r="R130" s="406" t="s">
        <v>13</v>
      </c>
      <c r="S130" s="406" t="s">
        <v>14</v>
      </c>
      <c r="T130" s="406" t="s">
        <v>15</v>
      </c>
      <c r="U130" s="406" t="s">
        <v>16</v>
      </c>
      <c r="V130" s="408" t="s">
        <v>17</v>
      </c>
      <c r="X130" s="394" t="s">
        <v>18</v>
      </c>
      <c r="Y130" s="395" t="s">
        <v>19</v>
      </c>
      <c r="Z130" s="394" t="s">
        <v>20</v>
      </c>
    </row>
    <row r="131" spans="1:42" ht="27.75" thickBot="1">
      <c r="B131" s="248">
        <v>1</v>
      </c>
      <c r="C131" s="396" t="s">
        <v>379</v>
      </c>
      <c r="D131" s="397">
        <v>54201.120000000003</v>
      </c>
      <c r="E131" s="397">
        <v>76295.58</v>
      </c>
      <c r="F131" s="398">
        <v>318096</v>
      </c>
      <c r="G131" s="397">
        <v>295421.53999999998</v>
      </c>
      <c r="H131" s="397">
        <v>56803.1</v>
      </c>
      <c r="I131" s="399">
        <v>5</v>
      </c>
      <c r="J131" s="399">
        <v>118</v>
      </c>
      <c r="K131" s="400">
        <v>0</v>
      </c>
      <c r="L131" s="400"/>
      <c r="M131" s="400"/>
      <c r="N131" s="400"/>
      <c r="O131" s="400"/>
      <c r="P131" s="401">
        <f t="shared" ref="P131:P136" si="12">+F131/I131</f>
        <v>63619.199999999997</v>
      </c>
      <c r="Q131" s="401">
        <f t="shared" ref="Q131:Q136" si="13">+G131/J131</f>
        <v>2503.5723728813559</v>
      </c>
      <c r="R131" s="397">
        <f t="shared" ref="R131:R136" si="14">+F131-G131</f>
        <v>22674.460000000021</v>
      </c>
      <c r="S131" s="402">
        <f t="shared" ref="S131:S136" si="15">+G131/F131</f>
        <v>0.92871818570494435</v>
      </c>
      <c r="T131" s="403">
        <f t="shared" ref="T131:T136" si="16">(+F131-G131)/F131</f>
        <v>7.1281814295055645E-2</v>
      </c>
      <c r="U131" s="400">
        <v>0</v>
      </c>
      <c r="V131" s="404">
        <v>26</v>
      </c>
      <c r="X131" s="12" t="s">
        <v>21</v>
      </c>
      <c r="Y131" s="13" t="s">
        <v>22</v>
      </c>
      <c r="Z131" s="12" t="s">
        <v>23</v>
      </c>
    </row>
    <row r="132" spans="1:42" ht="28.15" thickBot="1">
      <c r="B132" s="249">
        <v>2</v>
      </c>
      <c r="C132" s="301" t="s">
        <v>380</v>
      </c>
      <c r="D132" s="302">
        <v>76295.58</v>
      </c>
      <c r="E132" s="302">
        <v>33418.910000000003</v>
      </c>
      <c r="F132" s="303">
        <v>173376</v>
      </c>
      <c r="G132" s="302">
        <v>215672.67</v>
      </c>
      <c r="H132" s="302">
        <v>54306.31</v>
      </c>
      <c r="I132" s="304">
        <v>3</v>
      </c>
      <c r="J132" s="304">
        <v>92</v>
      </c>
      <c r="K132" s="305">
        <v>0</v>
      </c>
      <c r="L132" s="305"/>
      <c r="M132" s="305"/>
      <c r="N132" s="305"/>
      <c r="O132" s="305"/>
      <c r="P132" s="306">
        <f>+F132/I132</f>
        <v>57792</v>
      </c>
      <c r="Q132" s="306">
        <f t="shared" si="13"/>
        <v>2344.2681521739132</v>
      </c>
      <c r="R132" s="302">
        <f t="shared" si="14"/>
        <v>-42296.670000000013</v>
      </c>
      <c r="S132" s="307">
        <f t="shared" si="15"/>
        <v>1.2439591985049834</v>
      </c>
      <c r="T132" s="308">
        <f t="shared" si="16"/>
        <v>-0.24395919850498346</v>
      </c>
      <c r="U132" s="305">
        <v>0</v>
      </c>
      <c r="V132" s="310">
        <v>401.19</v>
      </c>
      <c r="X132" s="12" t="s">
        <v>24</v>
      </c>
      <c r="Y132" s="13" t="s">
        <v>25</v>
      </c>
      <c r="Z132" s="12" t="s">
        <v>26</v>
      </c>
    </row>
    <row r="133" spans="1:42" ht="27.75" thickBot="1">
      <c r="B133" s="249">
        <v>3</v>
      </c>
      <c r="C133" s="301" t="s">
        <v>381</v>
      </c>
      <c r="D133" s="302">
        <v>33418.910000000003</v>
      </c>
      <c r="E133" s="302">
        <v>843.92</v>
      </c>
      <c r="F133" s="303">
        <v>221212</v>
      </c>
      <c r="G133" s="302">
        <v>253786.99</v>
      </c>
      <c r="H133" s="302">
        <v>41519.49</v>
      </c>
      <c r="I133" s="304">
        <v>5</v>
      </c>
      <c r="J133" s="304">
        <v>95</v>
      </c>
      <c r="K133" s="305">
        <v>0</v>
      </c>
      <c r="L133" s="305"/>
      <c r="M133" s="305"/>
      <c r="N133" s="305"/>
      <c r="O133" s="305"/>
      <c r="P133" s="306">
        <f t="shared" si="12"/>
        <v>44242.400000000001</v>
      </c>
      <c r="Q133" s="306">
        <f t="shared" si="13"/>
        <v>2671.442</v>
      </c>
      <c r="R133" s="302">
        <f t="shared" si="14"/>
        <v>-32574.989999999991</v>
      </c>
      <c r="S133" s="307">
        <f t="shared" si="15"/>
        <v>1.1472568847982929</v>
      </c>
      <c r="T133" s="308">
        <f t="shared" si="16"/>
        <v>-0.14725688479829299</v>
      </c>
      <c r="U133" s="305">
        <v>0</v>
      </c>
      <c r="V133" s="309"/>
      <c r="X133" s="12" t="s">
        <v>27</v>
      </c>
      <c r="Y133" s="13" t="s">
        <v>28</v>
      </c>
      <c r="Z133" s="14" t="s">
        <v>29</v>
      </c>
    </row>
    <row r="134" spans="1:42" ht="27.75" thickBot="1">
      <c r="B134" s="249">
        <v>4</v>
      </c>
      <c r="C134" s="301" t="s">
        <v>382</v>
      </c>
      <c r="D134" s="302">
        <v>843.92</v>
      </c>
      <c r="E134" s="302">
        <v>44036.08</v>
      </c>
      <c r="F134" s="302">
        <v>257842</v>
      </c>
      <c r="G134" s="302">
        <v>213489.84</v>
      </c>
      <c r="H134" s="302">
        <v>30590.16</v>
      </c>
      <c r="I134" s="304">
        <v>7</v>
      </c>
      <c r="J134" s="304">
        <v>108</v>
      </c>
      <c r="K134" s="305">
        <v>0</v>
      </c>
      <c r="L134" s="305"/>
      <c r="M134" s="305"/>
      <c r="N134" s="305"/>
      <c r="O134" s="305"/>
      <c r="P134" s="306">
        <f t="shared" si="12"/>
        <v>36834.571428571428</v>
      </c>
      <c r="Q134" s="306">
        <f t="shared" si="13"/>
        <v>1976.7577777777778</v>
      </c>
      <c r="R134" s="302">
        <f t="shared" si="14"/>
        <v>44352.160000000003</v>
      </c>
      <c r="S134" s="307">
        <f t="shared" si="15"/>
        <v>0.827987061844075</v>
      </c>
      <c r="T134" s="308">
        <f t="shared" si="16"/>
        <v>0.17201293815592497</v>
      </c>
      <c r="U134" s="305">
        <v>0</v>
      </c>
      <c r="V134" s="310">
        <v>390</v>
      </c>
      <c r="X134" s="12" t="s">
        <v>30</v>
      </c>
      <c r="Y134" s="13" t="s">
        <v>31</v>
      </c>
      <c r="Z134" s="12" t="s">
        <v>32</v>
      </c>
    </row>
    <row r="135" spans="1:42" ht="14.65" thickBot="1">
      <c r="B135" s="249">
        <v>5</v>
      </c>
      <c r="C135" s="301" t="s">
        <v>383</v>
      </c>
      <c r="D135" s="302">
        <v>44036.08</v>
      </c>
      <c r="E135" s="302">
        <v>9846.8700000000008</v>
      </c>
      <c r="F135" s="302">
        <v>210884</v>
      </c>
      <c r="G135" s="302">
        <v>244493.21</v>
      </c>
      <c r="H135" s="302">
        <v>28654.560000000001</v>
      </c>
      <c r="I135" s="304">
        <v>5</v>
      </c>
      <c r="J135" s="304">
        <v>133</v>
      </c>
      <c r="K135" s="305"/>
      <c r="L135" s="305"/>
      <c r="M135" s="305"/>
      <c r="N135" s="305"/>
      <c r="O135" s="305"/>
      <c r="P135" s="306">
        <f t="shared" si="12"/>
        <v>42176.800000000003</v>
      </c>
      <c r="Q135" s="306">
        <f t="shared" si="13"/>
        <v>1838.294812030075</v>
      </c>
      <c r="R135" s="302">
        <f t="shared" si="14"/>
        <v>-33609.209999999992</v>
      </c>
      <c r="S135" s="307">
        <f t="shared" si="15"/>
        <v>1.1593729728191802</v>
      </c>
      <c r="T135" s="308">
        <f t="shared" si="16"/>
        <v>-0.15937297281918017</v>
      </c>
      <c r="U135" s="305"/>
      <c r="V135" s="303">
        <v>1067.03</v>
      </c>
      <c r="X135" s="12"/>
      <c r="Y135" s="13"/>
      <c r="Z135" s="12"/>
    </row>
    <row r="136" spans="1:42" ht="27.75" thickBot="1">
      <c r="B136" s="250">
        <v>6</v>
      </c>
      <c r="C136" s="301" t="s">
        <v>384</v>
      </c>
      <c r="D136" s="302">
        <v>9846.8700000000008</v>
      </c>
      <c r="E136" s="302">
        <v>72973.31</v>
      </c>
      <c r="F136" s="302">
        <v>282240</v>
      </c>
      <c r="G136" s="302">
        <v>218533.56</v>
      </c>
      <c r="H136" s="302">
        <v>84332.21</v>
      </c>
      <c r="I136" s="304">
        <v>4</v>
      </c>
      <c r="J136" s="304">
        <v>109</v>
      </c>
      <c r="K136" s="305">
        <v>0</v>
      </c>
      <c r="L136" s="305"/>
      <c r="M136" s="305"/>
      <c r="N136" s="305"/>
      <c r="O136" s="305"/>
      <c r="P136" s="306">
        <f t="shared" si="12"/>
        <v>70560</v>
      </c>
      <c r="Q136" s="306">
        <f t="shared" si="13"/>
        <v>2004.8950458715597</v>
      </c>
      <c r="R136" s="302">
        <f t="shared" si="14"/>
        <v>63706.44</v>
      </c>
      <c r="S136" s="307">
        <f t="shared" si="15"/>
        <v>0.77428273809523807</v>
      </c>
      <c r="T136" s="308">
        <f t="shared" si="16"/>
        <v>0.22571726190476191</v>
      </c>
      <c r="U136" s="305">
        <v>0</v>
      </c>
      <c r="V136" s="309">
        <v>390</v>
      </c>
      <c r="X136" s="12" t="s">
        <v>33</v>
      </c>
      <c r="Y136" s="13" t="s">
        <v>34</v>
      </c>
      <c r="Z136" s="12" t="s">
        <v>35</v>
      </c>
    </row>
    <row r="137" spans="1:42">
      <c r="C137" s="270" t="s">
        <v>36</v>
      </c>
      <c r="D137" s="262"/>
      <c r="E137" s="262"/>
      <c r="F137" s="271">
        <f>SUM(F131:F136)</f>
        <v>1463650</v>
      </c>
      <c r="G137" s="271">
        <f>SUM(G131:G136)</f>
        <v>1441397.81</v>
      </c>
      <c r="I137" s="2"/>
      <c r="J137" s="2"/>
      <c r="Q137" s="264"/>
      <c r="R137" s="262"/>
      <c r="S137" s="266"/>
      <c r="T137" s="267"/>
    </row>
    <row r="138" spans="1:42" ht="14.65" thickBot="1">
      <c r="D138" s="262"/>
      <c r="E138" s="262"/>
      <c r="I138" s="2"/>
      <c r="J138" s="2"/>
      <c r="P138" s="263"/>
      <c r="Q138" s="264"/>
      <c r="R138" s="262"/>
      <c r="S138" s="266"/>
      <c r="T138" s="267"/>
      <c r="X138" s="268"/>
      <c r="Y138" s="269"/>
      <c r="Z138" s="268"/>
    </row>
    <row r="139" spans="1:42" ht="14.65" thickBot="1">
      <c r="C139" s="16" t="s">
        <v>37</v>
      </c>
      <c r="D139" s="272"/>
      <c r="E139" s="272">
        <f>+G145</f>
        <v>39569.111666666664</v>
      </c>
      <c r="F139" s="272">
        <f>+G144</f>
        <v>243941.66666666666</v>
      </c>
      <c r="G139" s="273">
        <f>+AVERAGE(G131:G136)</f>
        <v>240232.96833333335</v>
      </c>
      <c r="I139" s="276">
        <f>+AVERAGE(I131:I136)</f>
        <v>4.833333333333333</v>
      </c>
      <c r="J139" s="277">
        <f>+AVERAGE(J131:J136)</f>
        <v>109.16666666666667</v>
      </c>
      <c r="P139" s="311">
        <f>+AVERAGE(P131:P136)</f>
        <v>52537.495238095238</v>
      </c>
      <c r="Q139" s="272">
        <f>+AVERAGE(Q131:Q136)</f>
        <v>2223.2050267891136</v>
      </c>
      <c r="R139" s="273">
        <f>+AVERAGE(R131:R136)</f>
        <v>3708.6983333333387</v>
      </c>
      <c r="S139" s="9"/>
      <c r="T139" s="9"/>
      <c r="X139" s="268"/>
      <c r="Y139" s="269"/>
      <c r="Z139" s="268"/>
    </row>
    <row r="140" spans="1:42" ht="14.65" thickBot="1">
      <c r="C140" s="6" t="s">
        <v>38</v>
      </c>
      <c r="D140" s="274"/>
      <c r="E140" s="274">
        <f>(E131*0.05)+(E132*0.1)+(E133*0.1)+(E134*0.15)+(E135*0.25)+(E136*0.35)</f>
        <v>41848.85</v>
      </c>
      <c r="F140" s="274">
        <f>(F131*0.05)+(F132*0.1)+(F133*0.1)+(F134*0.15)+(F135*0.25)+(F136*0.35)</f>
        <v>245544.9</v>
      </c>
      <c r="G140" s="275">
        <f>(G131*0.05)+(G132*0.1)+(G133*0.1)+(G134*0.15)+(G135*0.25)+(G136*0.35)</f>
        <v>231350.5675</v>
      </c>
      <c r="I140" s="9"/>
      <c r="P140" s="312">
        <f>(P131*0.05)+(P132*0.1)+(P133*0.1)+(P134*0.15)+(P135*0.25)+(P136*0.35)</f>
        <v>54149.785714285717</v>
      </c>
      <c r="Q140" s="274">
        <f>(Q131*0.05)+(Q132*0.1)+(Q133*0.1)+(Q134*0.15)+(Q135*0.25)+(Q136*0.35)</f>
        <v>2084.5502695906907</v>
      </c>
      <c r="R140" s="275">
        <f>(R131*0.05)+(R132*0.1)+(R133*0.1)+(R134*0.15)+(R135*0.25)+(R136*0.35)</f>
        <v>14194.332500000004</v>
      </c>
      <c r="S140" s="9"/>
      <c r="T140" s="9"/>
    </row>
    <row r="141" spans="1:42" ht="14.65" thickBot="1"/>
    <row r="142" spans="1:42" ht="14.65" thickBot="1">
      <c r="D142" s="283" t="s">
        <v>39</v>
      </c>
      <c r="E142" s="284"/>
      <c r="F142" s="284"/>
      <c r="G142" s="422">
        <v>48328.31</v>
      </c>
    </row>
    <row r="143" spans="1:42" ht="14.65" thickBot="1">
      <c r="G143" s="278"/>
      <c r="H143" s="18" t="s">
        <v>40</v>
      </c>
    </row>
    <row r="144" spans="1:42">
      <c r="D144" s="16" t="s">
        <v>387</v>
      </c>
      <c r="E144" s="286"/>
      <c r="F144" s="286"/>
      <c r="G144" s="287">
        <f>+AVERAGE(F131:F136)</f>
        <v>243941.66666666666</v>
      </c>
      <c r="H144" s="288"/>
      <c r="I144" s="17" t="s">
        <v>41</v>
      </c>
    </row>
    <row r="145" spans="2:19">
      <c r="D145" s="3" t="s">
        <v>18</v>
      </c>
      <c r="G145" s="279">
        <f>+AVERAGE(E131:E136)</f>
        <v>39569.111666666664</v>
      </c>
      <c r="H145" s="289"/>
      <c r="I145" t="s">
        <v>42</v>
      </c>
    </row>
    <row r="146" spans="2:19">
      <c r="D146" s="3" t="s">
        <v>43</v>
      </c>
      <c r="G146" s="279">
        <f>(E136*0.5)+(E135*0.3)+(E134*0.2)</f>
        <v>48247.932000000001</v>
      </c>
      <c r="H146" s="289"/>
    </row>
    <row r="147" spans="2:19">
      <c r="D147" s="3" t="s">
        <v>44</v>
      </c>
      <c r="G147" s="279">
        <f>AVERAGE(E131:E133)</f>
        <v>36852.803333333337</v>
      </c>
      <c r="H147" s="289"/>
    </row>
    <row r="148" spans="2:19">
      <c r="D148" s="369" t="s">
        <v>410</v>
      </c>
      <c r="G148" s="449">
        <f>(AVERAGE(H134:H136) - AVERAGE(H131:H133)) / MAX(ABS(AVERAGE(H131:H133)), 1000)</f>
        <v>-5.9307051285831199E-2</v>
      </c>
      <c r="H148" s="4">
        <f>IF(G148&gt;=1.2,100,IF(G148&gt;=1,80,IF(G148&gt;=0.8,50,IF(G148&gt;=0.5,30,IF(G148&gt;=0.2,0,-20)))))</f>
        <v>-20</v>
      </c>
      <c r="I148" s="501" t="s">
        <v>354</v>
      </c>
      <c r="J148" s="502"/>
      <c r="K148" s="502"/>
      <c r="L148" s="502"/>
      <c r="M148" s="502"/>
      <c r="N148" s="502"/>
      <c r="O148" s="502"/>
      <c r="P148" s="502"/>
    </row>
    <row r="149" spans="2:19">
      <c r="D149" s="369" t="s">
        <v>411</v>
      </c>
      <c r="E149" s="23"/>
      <c r="F149" s="23"/>
      <c r="G149" s="370">
        <f>(AVERAGE(R134:R136) - AVERAGE(R131:R133)) / MAX(ABS(AVERAGE(R131:R133)), 1000)</f>
        <v>2.4263100319557376</v>
      </c>
      <c r="H149" s="202">
        <f>IF(G149&gt;=1.2,100,IF(G149&gt;=1,80,IF(G149&gt;=0.8,50,IF(G149&gt;=0.5,30,IF(G149&gt;=0.2,0,-20)))))</f>
        <v>100</v>
      </c>
      <c r="I149" s="502"/>
      <c r="J149" s="502"/>
      <c r="K149" s="502"/>
      <c r="L149" s="502"/>
      <c r="M149" s="502"/>
      <c r="N149" s="502"/>
      <c r="O149" s="502"/>
      <c r="P149" s="502"/>
    </row>
    <row r="150" spans="2:19">
      <c r="D150" s="3" t="s">
        <v>45</v>
      </c>
      <c r="G150" s="265">
        <f>(SUM(F131:F136)*G170)/6</f>
        <v>14101.653617203332</v>
      </c>
      <c r="H150" s="290"/>
      <c r="I150" t="s">
        <v>46</v>
      </c>
    </row>
    <row r="151" spans="2:19">
      <c r="D151" s="3" t="s">
        <v>47</v>
      </c>
      <c r="G151" s="265">
        <f>(R131*0.05)+(R132*0.1)+(R133*0.1)+(R134*0.15)+(R135*0.25)+(R136*0.35)</f>
        <v>14194.332500000004</v>
      </c>
      <c r="H151" s="290"/>
      <c r="I151" t="s">
        <v>48</v>
      </c>
    </row>
    <row r="152" spans="2:19">
      <c r="D152" s="3" t="s">
        <v>49</v>
      </c>
      <c r="F152" s="280" t="str">
        <f>+IF(G152&lt;0.75,"Muy Sano",IF(G152&lt;0.85,"Sano",IF(G152&lt;0.95,"Presionado",IF(G152&gt;0.95,"Riesgoso"))))</f>
        <v>Riesgoso</v>
      </c>
      <c r="G152" s="281">
        <f>(S131*0.05)+(S132*0.1)+(S133*0.1)+(S134*0.15)+(S135*0.25)+(S136*0.35)</f>
        <v>0.97059777843031447</v>
      </c>
      <c r="H152" s="4">
        <f>+IF(G152&lt;0.75,100,IF(G152&lt;0.8,80,IF(G152&lt;0.85,50,IF(G152&lt;0.9,30,IF(G152&lt;0.95,15,IF(G152&lt;1,0,-20))))))</f>
        <v>0</v>
      </c>
      <c r="I152" t="s">
        <v>50</v>
      </c>
      <c r="S152" t="s">
        <v>355</v>
      </c>
    </row>
    <row r="153" spans="2:19">
      <c r="D153" s="3" t="s">
        <v>21</v>
      </c>
      <c r="G153" s="282">
        <f>+SUM(K131:K136)</f>
        <v>0</v>
      </c>
      <c r="H153" s="289"/>
      <c r="I153" t="s">
        <v>51</v>
      </c>
    </row>
    <row r="154" spans="2:19">
      <c r="D154" s="3" t="s">
        <v>52</v>
      </c>
      <c r="G154" s="15">
        <f>AVERAGE(E131:E136)/AVERAGE(F131:F136)</f>
        <v>0.16220726949748915</v>
      </c>
      <c r="H154" s="4">
        <f>+IF(G154&gt;15%,100,IF(G154&gt;10%,80,IF(G154&gt;5%,60,IF(G154&gt;3%,50,IF(G154&gt;1.5%,20,IF(G154&lt;1.5%,10,IF(G154=0,0,-10)))))))</f>
        <v>100</v>
      </c>
      <c r="I154" t="s">
        <v>53</v>
      </c>
    </row>
    <row r="155" spans="2:19" ht="14.65" thickBot="1">
      <c r="D155" s="6" t="s">
        <v>54</v>
      </c>
      <c r="E155" s="291"/>
      <c r="F155" s="291"/>
      <c r="G155" s="292">
        <f>1 - (STDEV(F131:F136)/AVERAGE(F131:F136))</f>
        <v>0.7850459032396242</v>
      </c>
      <c r="H155" s="293">
        <f>MAX(0,MIN(100,G155*100))</f>
        <v>78.504590323962418</v>
      </c>
      <c r="I155" t="s">
        <v>55</v>
      </c>
    </row>
    <row r="156" spans="2:19" ht="14.65" thickBot="1">
      <c r="H156" s="18" t="s">
        <v>40</v>
      </c>
    </row>
    <row r="157" spans="2:19">
      <c r="B157" s="503"/>
      <c r="C157" s="504"/>
      <c r="D157" s="324"/>
      <c r="E157" s="324"/>
      <c r="F157" s="286"/>
      <c r="G157" s="325"/>
      <c r="H157" s="325"/>
    </row>
    <row r="158" spans="2:19">
      <c r="B158" s="489"/>
      <c r="C158" s="490"/>
      <c r="F158" s="8"/>
      <c r="G158" s="294"/>
      <c r="H158" s="294"/>
    </row>
    <row r="159" spans="2:19">
      <c r="B159" s="493" t="s">
        <v>56</v>
      </c>
      <c r="C159" s="494"/>
      <c r="D159" t="s">
        <v>57</v>
      </c>
      <c r="F159" s="8"/>
      <c r="G159" s="294">
        <f>(SUM(E131:E136)-MAX(E131:E136)-MIN(E131:E136))/(COUNT(E131:E136)-2)</f>
        <v>40068.792499999989</v>
      </c>
      <c r="H159" s="295"/>
      <c r="I159" t="s">
        <v>58</v>
      </c>
    </row>
    <row r="160" spans="2:19">
      <c r="B160" s="493" t="s">
        <v>56</v>
      </c>
      <c r="C160" s="494"/>
      <c r="D160" t="s">
        <v>59</v>
      </c>
      <c r="F160" s="8"/>
      <c r="G160" s="294">
        <f>+G159/G142</f>
        <v>0.82909566877054031</v>
      </c>
      <c r="H160" s="295">
        <f>IF(G160&lt;0.5,0,IF(G160&lt;1,20,IF(G160&lt;2,50,IF(G160&lt;3,70,IF(G160&lt;5,90,100)))))</f>
        <v>20</v>
      </c>
      <c r="I160" t="s">
        <v>60</v>
      </c>
    </row>
    <row r="161" spans="2:21">
      <c r="B161" s="487" t="s">
        <v>61</v>
      </c>
      <c r="C161" s="488"/>
      <c r="D161" t="s">
        <v>30</v>
      </c>
      <c r="G161" s="294">
        <f>_xlfn.STDEV.S(F131:F136)/AVERAGE(F131:F136)</f>
        <v>0.2149540967603758</v>
      </c>
      <c r="H161" s="294">
        <f>MAX(0,100-(G161*40))</f>
        <v>91.401836129584964</v>
      </c>
      <c r="I161" s="17" t="s">
        <v>62</v>
      </c>
    </row>
    <row r="162" spans="2:21">
      <c r="B162" s="505" t="s">
        <v>63</v>
      </c>
      <c r="C162" s="506"/>
      <c r="D162" t="s">
        <v>64</v>
      </c>
      <c r="G162" s="316">
        <f>((E136+E135+E134)/3)/((E131+E132+E133)/3)</f>
        <v>1.1474139325990667</v>
      </c>
      <c r="H162" s="374" t="str">
        <f>IF(G162&gt;=1.2,"liquidez mejora fuerte",IF(G162&gt;=1,"liquidez estable",IF(G162&gt;=0.8,"liquidez deteriora leve","liquidez deteriora fuerte")))</f>
        <v>liquidez estable</v>
      </c>
      <c r="I162" t="s">
        <v>65</v>
      </c>
    </row>
    <row r="163" spans="2:21">
      <c r="B163" s="489"/>
      <c r="C163" s="490"/>
      <c r="G163" s="294"/>
      <c r="H163" s="294"/>
    </row>
    <row r="164" spans="2:21">
      <c r="B164" s="487" t="s">
        <v>61</v>
      </c>
      <c r="C164" s="488"/>
      <c r="D164" t="s">
        <v>66</v>
      </c>
      <c r="G164" s="294">
        <f>MIN(3,STDEV(R131:R136)/MAX(ABS(AVERAGE(R131:R136)),1000))</f>
        <v>3</v>
      </c>
      <c r="H164" s="294">
        <f>MAX(0,100-(G164*30))</f>
        <v>10</v>
      </c>
      <c r="I164" t="s">
        <v>67</v>
      </c>
      <c r="R164" t="s">
        <v>68</v>
      </c>
    </row>
    <row r="165" spans="2:21">
      <c r="B165" s="489"/>
      <c r="C165" s="490"/>
      <c r="G165" s="294"/>
      <c r="H165" s="294"/>
    </row>
    <row r="166" spans="2:21">
      <c r="B166" s="491" t="s">
        <v>69</v>
      </c>
      <c r="C166" s="492"/>
      <c r="D166" t="s">
        <v>70</v>
      </c>
      <c r="F166" s="7"/>
      <c r="G166" s="294">
        <f>G150-(STDEV(R131:R136)*0.25)</f>
        <v>2679.6647722834787</v>
      </c>
      <c r="H166" s="294"/>
      <c r="I166" t="s">
        <v>71</v>
      </c>
    </row>
    <row r="167" spans="2:21">
      <c r="B167" s="491" t="s">
        <v>69</v>
      </c>
      <c r="C167" s="492"/>
      <c r="D167" t="s">
        <v>72</v>
      </c>
      <c r="F167" s="7"/>
      <c r="G167" s="294">
        <f>+G166/G142</f>
        <v>5.5447102790962044E-2</v>
      </c>
      <c r="H167" s="296"/>
      <c r="I167" t="s">
        <v>73</v>
      </c>
      <c r="U167" t="s">
        <v>353</v>
      </c>
    </row>
    <row r="168" spans="2:21">
      <c r="B168" s="491" t="s">
        <v>69</v>
      </c>
      <c r="C168" s="492"/>
      <c r="D168" t="s">
        <v>74</v>
      </c>
      <c r="G168" s="297">
        <f>+G167/P173</f>
        <v>2.0162582833077106E-2</v>
      </c>
      <c r="H168" s="294">
        <f>IF((G167/P173)&gt;=1.5,100,IF((G167/P173)&gt;=1.2,80,IF((G167/P173)&gt;=1,60,IF((G167/P173)&gt;=0.8,40,0))))</f>
        <v>0</v>
      </c>
    </row>
    <row r="169" spans="2:21">
      <c r="B169" s="493" t="s">
        <v>56</v>
      </c>
      <c r="C169" s="494"/>
      <c r="D169" t="s">
        <v>75</v>
      </c>
      <c r="F169" s="7"/>
      <c r="G169" s="294">
        <f>SUM(F131:F136)/SUM(G131:G136)</f>
        <v>1.0154379241078491</v>
      </c>
      <c r="H169" s="294">
        <f>IF(G169&gt;=1.1,100,IF(G169&gt;=1.05,80,IF(G169&gt;=1,70,IF(G169&gt;=0.95,50,IF(G169&gt;=0.85,35,10)))))</f>
        <v>70</v>
      </c>
      <c r="I169" t="s">
        <v>76</v>
      </c>
      <c r="Q169" t="s">
        <v>359</v>
      </c>
    </row>
    <row r="170" spans="2:21" ht="14.65" thickBot="1">
      <c r="B170" s="495" t="s">
        <v>69</v>
      </c>
      <c r="C170" s="496"/>
      <c r="D170" s="291" t="s">
        <v>15</v>
      </c>
      <c r="E170" s="291"/>
      <c r="F170" s="298"/>
      <c r="G170" s="299">
        <f>+(F140-G140)/F140</f>
        <v>5.7807482460437945E-2</v>
      </c>
      <c r="H170" s="300">
        <f>IF(G170&gt;=0.2,100,
IF(G170&gt;=0.1,80,
IF(G170&gt;=0.05,60,
IF(G170&gt;=0,40,
IF(G170&gt;=-0.05,20,0)))))</f>
        <v>60</v>
      </c>
      <c r="I170" t="s">
        <v>77</v>
      </c>
    </row>
    <row r="171" spans="2:21" ht="14.65" thickBot="1"/>
    <row r="172" spans="2:21">
      <c r="B172" s="497" t="s">
        <v>78</v>
      </c>
      <c r="C172" s="498"/>
      <c r="D172" s="189" t="s">
        <v>79</v>
      </c>
      <c r="E172" s="189" t="s">
        <v>40</v>
      </c>
      <c r="F172" s="183"/>
      <c r="I172" s="253" t="s">
        <v>80</v>
      </c>
      <c r="J172" s="375">
        <v>3</v>
      </c>
      <c r="K172" s="256" t="s">
        <v>81</v>
      </c>
      <c r="L172" s="256"/>
      <c r="M172" s="256"/>
      <c r="N172" s="256"/>
      <c r="O172" s="256"/>
      <c r="P172" s="254" t="s">
        <v>82</v>
      </c>
      <c r="Q172" s="254" t="s">
        <v>83</v>
      </c>
    </row>
    <row r="173" spans="2:21">
      <c r="B173" s="184"/>
      <c r="C173" s="182" t="s">
        <v>84</v>
      </c>
      <c r="D173" s="185">
        <v>0.6</v>
      </c>
      <c r="E173" s="15">
        <f>+H168</f>
        <v>0</v>
      </c>
      <c r="F173" s="181"/>
      <c r="I173" s="24" t="s">
        <v>85</v>
      </c>
      <c r="J173" s="4">
        <v>2.75</v>
      </c>
      <c r="K173" s="421">
        <v>36</v>
      </c>
      <c r="L173" s="256"/>
      <c r="M173" s="256"/>
      <c r="N173" s="256"/>
      <c r="O173" s="256"/>
      <c r="P173" s="254">
        <f>+IF(K173&lt;=24,J172,IF(K173&lt;=36,J173,IF(K173&lt;=48,J174,IF(K173&lt;=60,J175,"2"))))</f>
        <v>2.75</v>
      </c>
      <c r="Q173" s="255">
        <f>+IF(K173&lt;24,30.2%,IF(K173&lt;36,26%,IF(K173&lt;48,24.55%,IF(K173&lt;60,23.82%,"0%"))))</f>
        <v>0.2455</v>
      </c>
    </row>
    <row r="174" spans="2:21">
      <c r="B174" s="184"/>
      <c r="C174" s="182" t="s">
        <v>86</v>
      </c>
      <c r="D174" s="185">
        <v>0.25</v>
      </c>
      <c r="E174" s="15">
        <f>+H152</f>
        <v>0</v>
      </c>
      <c r="F174" s="181"/>
      <c r="I174" s="24" t="s">
        <v>87</v>
      </c>
      <c r="J174" s="4">
        <v>2.5</v>
      </c>
    </row>
    <row r="175" spans="2:21" ht="14.65" thickBot="1">
      <c r="B175" s="184"/>
      <c r="C175" s="182" t="s">
        <v>15</v>
      </c>
      <c r="D175" s="185">
        <v>0.15</v>
      </c>
      <c r="E175" s="15">
        <f>+H170</f>
        <v>60</v>
      </c>
      <c r="F175" s="181"/>
      <c r="I175" s="50" t="s">
        <v>88</v>
      </c>
      <c r="J175" s="317">
        <v>2.25</v>
      </c>
    </row>
    <row r="176" spans="2:21" ht="14.65" thickBot="1">
      <c r="B176" s="186"/>
      <c r="C176" s="187"/>
      <c r="D176" s="187"/>
      <c r="E176" s="188" t="s">
        <v>89</v>
      </c>
      <c r="F176" s="195">
        <f>E173*D173 + E174*D174 + E175*D175</f>
        <v>9</v>
      </c>
    </row>
    <row r="177" spans="2:16" ht="14.65" thickBot="1">
      <c r="B177" s="499" t="s">
        <v>90</v>
      </c>
      <c r="C177" s="500"/>
      <c r="D177" s="189" t="s">
        <v>79</v>
      </c>
      <c r="E177" s="189" t="s">
        <v>40</v>
      </c>
      <c r="F177" s="183"/>
      <c r="H177" s="9"/>
      <c r="I177" s="313" t="s">
        <v>91</v>
      </c>
      <c r="J177" s="314"/>
      <c r="K177" s="315" t="s">
        <v>92</v>
      </c>
      <c r="L177" s="410"/>
      <c r="M177" s="410"/>
      <c r="N177" s="410"/>
      <c r="O177" s="410"/>
      <c r="P177" s="314"/>
    </row>
    <row r="178" spans="2:16">
      <c r="B178" s="184"/>
      <c r="C178" s="182" t="s">
        <v>93</v>
      </c>
      <c r="D178" s="190">
        <v>0.5</v>
      </c>
      <c r="E178" s="15">
        <f>+H160</f>
        <v>20</v>
      </c>
      <c r="F178" s="181"/>
      <c r="H178" s="182" t="s">
        <v>94</v>
      </c>
      <c r="I178" s="476">
        <f>+G145/P173</f>
        <v>14388.767878787878</v>
      </c>
      <c r="J178" s="477"/>
      <c r="K178" s="478">
        <f>ABS(PV(Q173/12,K173,I178))</f>
        <v>364067.86234110256</v>
      </c>
      <c r="L178" s="479"/>
      <c r="M178" s="479"/>
      <c r="N178" s="479"/>
      <c r="O178" s="479"/>
      <c r="P178" s="480"/>
    </row>
    <row r="179" spans="2:16">
      <c r="B179" s="184"/>
      <c r="C179" s="182" t="s">
        <v>95</v>
      </c>
      <c r="D179" s="190">
        <v>0.3</v>
      </c>
      <c r="E179" s="15">
        <f>+H169</f>
        <v>70</v>
      </c>
      <c r="F179" s="181"/>
      <c r="H179" s="182" t="s">
        <v>96</v>
      </c>
      <c r="I179" s="476">
        <f>+G144/P173</f>
        <v>88706.060606060608</v>
      </c>
      <c r="J179" s="477"/>
      <c r="K179" s="478">
        <f>ABS(PV(Q173/12,K173,I179))</f>
        <v>2244460.8276125267</v>
      </c>
      <c r="L179" s="479"/>
      <c r="M179" s="479"/>
      <c r="N179" s="479"/>
      <c r="O179" s="479"/>
      <c r="P179" s="480"/>
    </row>
    <row r="180" spans="2:16" ht="14.65" thickBot="1">
      <c r="B180" s="184"/>
      <c r="C180" s="8" t="s">
        <v>97</v>
      </c>
      <c r="D180" s="185">
        <v>0.2</v>
      </c>
      <c r="E180" s="15">
        <f>+H154</f>
        <v>100</v>
      </c>
      <c r="F180" s="181"/>
      <c r="H180" s="257" t="s">
        <v>98</v>
      </c>
      <c r="I180" s="481">
        <f>+G146/P173</f>
        <v>17544.702545454547</v>
      </c>
      <c r="J180" s="482"/>
      <c r="K180" s="483">
        <f>ABS(PV(Q173/12,K173,I180))</f>
        <v>443920.03574889997</v>
      </c>
      <c r="L180" s="484"/>
      <c r="M180" s="484"/>
      <c r="N180" s="484"/>
      <c r="O180" s="484"/>
      <c r="P180" s="485"/>
    </row>
    <row r="181" spans="2:16" ht="14.65" thickBot="1">
      <c r="B181" s="191"/>
      <c r="C181" s="182"/>
      <c r="D181" s="187"/>
      <c r="E181" s="188" t="s">
        <v>89</v>
      </c>
      <c r="F181" s="195">
        <f xml:space="preserve"> E178*D178 + E179*D179+E180*D180</f>
        <v>51</v>
      </c>
    </row>
    <row r="182" spans="2:16">
      <c r="B182" s="196" t="s">
        <v>99</v>
      </c>
      <c r="C182" s="197"/>
      <c r="D182" s="189" t="s">
        <v>79</v>
      </c>
      <c r="E182" s="189" t="s">
        <v>40</v>
      </c>
      <c r="F182" s="183"/>
      <c r="I182" s="486" t="s">
        <v>100</v>
      </c>
      <c r="J182" s="486"/>
      <c r="P182" s="8"/>
    </row>
    <row r="183" spans="2:16">
      <c r="B183" s="184"/>
      <c r="C183" s="182" t="s">
        <v>101</v>
      </c>
      <c r="D183" s="7">
        <v>0.6</v>
      </c>
      <c r="E183" s="15">
        <f>+H164</f>
        <v>10</v>
      </c>
      <c r="F183" s="181"/>
      <c r="I183" t="s">
        <v>102</v>
      </c>
      <c r="J183" t="s">
        <v>103</v>
      </c>
    </row>
    <row r="184" spans="2:16" ht="14.65" thickBot="1">
      <c r="B184" s="184"/>
      <c r="C184" s="182" t="s">
        <v>104</v>
      </c>
      <c r="D184" s="7">
        <v>0.4</v>
      </c>
      <c r="E184" s="201">
        <f>+H155</f>
        <v>78.504590323962418</v>
      </c>
      <c r="F184" s="181"/>
      <c r="I184" s="8" t="s">
        <v>105</v>
      </c>
      <c r="J184" t="s">
        <v>106</v>
      </c>
    </row>
    <row r="185" spans="2:16" ht="14.65" thickBot="1">
      <c r="B185" s="192"/>
      <c r="E185" s="193" t="s">
        <v>89</v>
      </c>
      <c r="F185" s="195">
        <f xml:space="preserve"> E183*D183 + E184*D184</f>
        <v>37.401836129584964</v>
      </c>
      <c r="I185" s="8" t="s">
        <v>107</v>
      </c>
      <c r="J185" t="s">
        <v>108</v>
      </c>
    </row>
    <row r="186" spans="2:16">
      <c r="B186" s="198" t="s">
        <v>109</v>
      </c>
      <c r="C186" s="199"/>
      <c r="D186" s="189" t="s">
        <v>79</v>
      </c>
      <c r="E186" s="189" t="s">
        <v>40</v>
      </c>
      <c r="F186" s="183"/>
      <c r="I186" s="8" t="s">
        <v>110</v>
      </c>
      <c r="J186" t="s">
        <v>111</v>
      </c>
    </row>
    <row r="187" spans="2:16" ht="14.65" thickBot="1">
      <c r="B187" s="194"/>
      <c r="C187" s="182" t="s">
        <v>112</v>
      </c>
      <c r="D187" s="7">
        <v>1</v>
      </c>
      <c r="E187" s="2">
        <f>+H148</f>
        <v>-20</v>
      </c>
      <c r="F187" s="181"/>
      <c r="I187" s="8" t="s">
        <v>113</v>
      </c>
      <c r="J187" t="s">
        <v>114</v>
      </c>
    </row>
    <row r="188" spans="2:16" ht="14.65" thickBot="1">
      <c r="B188" s="186"/>
      <c r="C188" s="187"/>
      <c r="D188" s="187"/>
      <c r="E188" s="188" t="s">
        <v>89</v>
      </c>
      <c r="F188" s="195">
        <f>+ E187*D187</f>
        <v>-20</v>
      </c>
      <c r="I188" s="8" t="s">
        <v>115</v>
      </c>
      <c r="J188" t="s">
        <v>106</v>
      </c>
    </row>
    <row r="189" spans="2:16" ht="14.65" thickBot="1">
      <c r="I189" s="8" t="s">
        <v>350</v>
      </c>
      <c r="J189" t="s">
        <v>108</v>
      </c>
    </row>
    <row r="190" spans="2:16">
      <c r="E190" s="423" t="s">
        <v>116</v>
      </c>
      <c r="F190" s="424">
        <f>(F176*0.4)+
(F181*0.3)+
(F185*0.2)+
(F188*0.1)</f>
        <v>24.380367225916991</v>
      </c>
    </row>
    <row r="191" spans="2:16">
      <c r="E191" s="425" t="s">
        <v>117</v>
      </c>
      <c r="F191" s="426">
        <f>MIN(1000,MAX(0,F190*10))</f>
        <v>243.8036722591699</v>
      </c>
    </row>
    <row r="192" spans="2:16" ht="14.65" thickBot="1"/>
    <row r="193" spans="1:42" ht="27" thickBot="1">
      <c r="A193" s="453" t="s">
        <v>409</v>
      </c>
      <c r="B193" s="454"/>
      <c r="C193" s="454"/>
      <c r="D193" s="454"/>
      <c r="E193" s="454"/>
      <c r="F193" s="388"/>
      <c r="G193" s="388"/>
      <c r="H193" s="389"/>
      <c r="I193" s="386"/>
      <c r="J193" s="386"/>
      <c r="K193" s="386"/>
      <c r="L193" s="386"/>
      <c r="M193" s="386"/>
      <c r="N193" s="386"/>
      <c r="O193" s="386"/>
      <c r="P193" s="386"/>
      <c r="Q193" s="386"/>
      <c r="R193" s="386"/>
      <c r="S193" s="386"/>
      <c r="T193" s="386"/>
      <c r="U193" s="386"/>
      <c r="V193" s="386"/>
      <c r="W193" s="386"/>
      <c r="X193" s="386"/>
      <c r="Y193" s="386"/>
      <c r="Z193" s="386"/>
      <c r="AA193" s="386"/>
      <c r="AB193" s="386"/>
      <c r="AC193" s="386"/>
      <c r="AD193" s="386"/>
      <c r="AE193" s="386"/>
      <c r="AF193" s="386"/>
      <c r="AG193" s="386"/>
      <c r="AH193" s="386"/>
      <c r="AI193" s="386"/>
      <c r="AJ193" s="386"/>
      <c r="AK193" s="386"/>
      <c r="AL193" s="386"/>
      <c r="AM193" s="386"/>
      <c r="AN193" s="386"/>
      <c r="AO193" s="386"/>
      <c r="AP193" s="390"/>
    </row>
    <row r="194" spans="1:42" ht="42.75" customHeight="1" thickBot="1">
      <c r="B194" s="405" t="s">
        <v>1</v>
      </c>
      <c r="C194" s="406" t="s">
        <v>2</v>
      </c>
      <c r="D194" s="406" t="s">
        <v>3</v>
      </c>
      <c r="E194" s="406" t="s">
        <v>4</v>
      </c>
      <c r="F194" s="406" t="s">
        <v>5</v>
      </c>
      <c r="G194" s="406" t="s">
        <v>6</v>
      </c>
      <c r="H194" s="406" t="s">
        <v>7</v>
      </c>
      <c r="I194" s="407" t="s">
        <v>388</v>
      </c>
      <c r="J194" s="407" t="s">
        <v>385</v>
      </c>
      <c r="K194" s="406" t="s">
        <v>386</v>
      </c>
      <c r="L194" s="406" t="s">
        <v>391</v>
      </c>
      <c r="M194" s="406" t="s">
        <v>392</v>
      </c>
      <c r="N194" s="406" t="s">
        <v>389</v>
      </c>
      <c r="O194" s="406" t="s">
        <v>390</v>
      </c>
      <c r="P194" s="406" t="s">
        <v>11</v>
      </c>
      <c r="Q194" s="406" t="s">
        <v>12</v>
      </c>
      <c r="R194" s="406" t="s">
        <v>13</v>
      </c>
      <c r="S194" s="406" t="s">
        <v>14</v>
      </c>
      <c r="T194" s="406" t="s">
        <v>15</v>
      </c>
      <c r="U194" s="406" t="s">
        <v>16</v>
      </c>
      <c r="V194" s="408" t="s">
        <v>17</v>
      </c>
      <c r="X194" s="394" t="s">
        <v>18</v>
      </c>
      <c r="Y194" s="395" t="s">
        <v>19</v>
      </c>
      <c r="Z194" s="394" t="s">
        <v>20</v>
      </c>
    </row>
    <row r="195" spans="1:42" ht="27.75" thickBot="1">
      <c r="B195" s="248">
        <v>1</v>
      </c>
      <c r="C195" s="396" t="s">
        <v>379</v>
      </c>
      <c r="D195" s="397">
        <v>500231.36</v>
      </c>
      <c r="E195" s="397">
        <v>305824.58</v>
      </c>
      <c r="F195" s="398">
        <v>379745.07</v>
      </c>
      <c r="G195" s="397">
        <v>574151.85</v>
      </c>
      <c r="H195" s="397">
        <v>310991.98</v>
      </c>
      <c r="I195" s="399">
        <v>25</v>
      </c>
      <c r="J195" s="399">
        <v>26</v>
      </c>
      <c r="K195" s="400">
        <v>0</v>
      </c>
      <c r="L195" s="400"/>
      <c r="M195" s="400"/>
      <c r="N195" s="400"/>
      <c r="O195" s="400"/>
      <c r="P195" s="401">
        <f t="shared" ref="P195" si="17">+F195/I195</f>
        <v>15189.802799999999</v>
      </c>
      <c r="Q195" s="401">
        <f t="shared" ref="Q195:Q200" si="18">+G195/J195</f>
        <v>22082.76346153846</v>
      </c>
      <c r="R195" s="397">
        <f t="shared" ref="R195:R200" si="19">+F195-G195</f>
        <v>-194406.77999999997</v>
      </c>
      <c r="S195" s="402">
        <f t="shared" ref="S195:S200" si="20">+G195/F195</f>
        <v>1.5119402340101478</v>
      </c>
      <c r="T195" s="403">
        <f t="shared" ref="T195:T200" si="21">(+F195-G195)/F195</f>
        <v>-0.51194023401014788</v>
      </c>
      <c r="U195" s="400">
        <v>0</v>
      </c>
      <c r="V195" s="404">
        <v>26</v>
      </c>
      <c r="X195" s="12" t="s">
        <v>21</v>
      </c>
      <c r="Y195" s="13" t="s">
        <v>22</v>
      </c>
      <c r="Z195" s="12" t="s">
        <v>23</v>
      </c>
    </row>
    <row r="196" spans="1:42" ht="28.15" thickBot="1">
      <c r="B196" s="249">
        <v>2</v>
      </c>
      <c r="C196" s="301" t="s">
        <v>380</v>
      </c>
      <c r="D196" s="302">
        <v>305824.58</v>
      </c>
      <c r="E196" s="302">
        <v>262047.11</v>
      </c>
      <c r="F196" s="303">
        <v>108717.53</v>
      </c>
      <c r="G196" s="302">
        <v>152495</v>
      </c>
      <c r="H196" s="302">
        <v>264651.39</v>
      </c>
      <c r="I196" s="304">
        <v>15</v>
      </c>
      <c r="J196" s="304">
        <v>14</v>
      </c>
      <c r="K196" s="305">
        <v>0</v>
      </c>
      <c r="L196" s="305"/>
      <c r="M196" s="305"/>
      <c r="N196" s="305"/>
      <c r="O196" s="305"/>
      <c r="P196" s="306">
        <f>+F196/I196</f>
        <v>7247.8353333333334</v>
      </c>
      <c r="Q196" s="306">
        <f t="shared" si="18"/>
        <v>10892.5</v>
      </c>
      <c r="R196" s="302">
        <f t="shared" si="19"/>
        <v>-43777.47</v>
      </c>
      <c r="S196" s="307">
        <f t="shared" si="20"/>
        <v>1.4026716758557705</v>
      </c>
      <c r="T196" s="308">
        <f t="shared" si="21"/>
        <v>-0.40267167585577046</v>
      </c>
      <c r="U196" s="305">
        <v>0</v>
      </c>
      <c r="V196" s="310">
        <v>401.19</v>
      </c>
      <c r="X196" s="12" t="s">
        <v>24</v>
      </c>
      <c r="Y196" s="13" t="s">
        <v>25</v>
      </c>
      <c r="Z196" s="12" t="s">
        <v>26</v>
      </c>
    </row>
    <row r="197" spans="1:42" ht="27.75" thickBot="1">
      <c r="B197" s="249">
        <v>3</v>
      </c>
      <c r="C197" s="301" t="s">
        <v>381</v>
      </c>
      <c r="D197" s="302">
        <v>262047.11</v>
      </c>
      <c r="E197" s="302">
        <v>99749.14</v>
      </c>
      <c r="F197" s="303">
        <v>237021.15</v>
      </c>
      <c r="G197" s="302">
        <v>427426.05</v>
      </c>
      <c r="H197" s="302">
        <v>196406.99</v>
      </c>
      <c r="I197" s="304">
        <v>14</v>
      </c>
      <c r="J197" s="304">
        <v>18</v>
      </c>
      <c r="K197" s="305">
        <v>0</v>
      </c>
      <c r="L197" s="305"/>
      <c r="M197" s="305"/>
      <c r="N197" s="305"/>
      <c r="O197" s="305"/>
      <c r="P197" s="306">
        <f t="shared" ref="P197:P200" si="22">+F197/I197</f>
        <v>16930.082142857143</v>
      </c>
      <c r="Q197" s="306">
        <f t="shared" si="18"/>
        <v>23745.891666666666</v>
      </c>
      <c r="R197" s="302">
        <f t="shared" si="19"/>
        <v>-190404.9</v>
      </c>
      <c r="S197" s="307">
        <f t="shared" si="20"/>
        <v>1.8033245134453191</v>
      </c>
      <c r="T197" s="308">
        <f t="shared" si="21"/>
        <v>-0.80332451344531908</v>
      </c>
      <c r="U197" s="305">
        <v>0</v>
      </c>
      <c r="V197" s="309"/>
      <c r="X197" s="12" t="s">
        <v>27</v>
      </c>
      <c r="Y197" s="13" t="s">
        <v>28</v>
      </c>
      <c r="Z197" s="14" t="s">
        <v>29</v>
      </c>
    </row>
    <row r="198" spans="1:42" ht="27.75" thickBot="1">
      <c r="B198" s="249">
        <v>4</v>
      </c>
      <c r="C198" s="301" t="s">
        <v>382</v>
      </c>
      <c r="D198" s="302">
        <v>99749.14</v>
      </c>
      <c r="E198" s="302">
        <v>396941.52</v>
      </c>
      <c r="F198" s="302">
        <v>639888.54</v>
      </c>
      <c r="G198" s="302">
        <v>342696.16</v>
      </c>
      <c r="H198" s="302">
        <v>206956.55</v>
      </c>
      <c r="I198" s="304">
        <v>32</v>
      </c>
      <c r="J198" s="304">
        <v>25</v>
      </c>
      <c r="K198" s="305">
        <v>0</v>
      </c>
      <c r="L198" s="305"/>
      <c r="M198" s="305"/>
      <c r="N198" s="305"/>
      <c r="O198" s="305"/>
      <c r="P198" s="306">
        <f t="shared" si="22"/>
        <v>19996.516875000001</v>
      </c>
      <c r="Q198" s="306">
        <f t="shared" si="18"/>
        <v>13707.846399999999</v>
      </c>
      <c r="R198" s="302">
        <f t="shared" si="19"/>
        <v>297192.38000000006</v>
      </c>
      <c r="S198" s="307">
        <f t="shared" si="20"/>
        <v>0.53555602042818262</v>
      </c>
      <c r="T198" s="308">
        <f t="shared" si="21"/>
        <v>0.46444397957181738</v>
      </c>
      <c r="U198" s="305">
        <v>0</v>
      </c>
      <c r="V198" s="310">
        <v>390</v>
      </c>
      <c r="X198" s="12" t="s">
        <v>30</v>
      </c>
      <c r="Y198" s="13" t="s">
        <v>31</v>
      </c>
      <c r="Z198" s="12" t="s">
        <v>32</v>
      </c>
    </row>
    <row r="199" spans="1:42" ht="14.65" thickBot="1">
      <c r="B199" s="249">
        <v>5</v>
      </c>
      <c r="C199" s="301" t="s">
        <v>383</v>
      </c>
      <c r="D199" s="302">
        <v>396941.52</v>
      </c>
      <c r="E199" s="302">
        <v>123439.3</v>
      </c>
      <c r="F199" s="302">
        <v>234556.18</v>
      </c>
      <c r="G199" s="302">
        <v>508056.32000000001</v>
      </c>
      <c r="H199" s="302">
        <v>205561.56</v>
      </c>
      <c r="I199" s="304">
        <v>19</v>
      </c>
      <c r="J199" s="304">
        <v>29</v>
      </c>
      <c r="K199" s="305">
        <v>0</v>
      </c>
      <c r="L199" s="305"/>
      <c r="M199" s="305"/>
      <c r="N199" s="305"/>
      <c r="O199" s="305"/>
      <c r="P199" s="306">
        <f t="shared" si="22"/>
        <v>12345.062105263158</v>
      </c>
      <c r="Q199" s="306">
        <f t="shared" si="18"/>
        <v>17519.183448275864</v>
      </c>
      <c r="R199" s="302">
        <f t="shared" si="19"/>
        <v>-273500.14</v>
      </c>
      <c r="S199" s="307">
        <f t="shared" si="20"/>
        <v>2.1660325470853081</v>
      </c>
      <c r="T199" s="308">
        <f t="shared" si="21"/>
        <v>-1.1660325470853081</v>
      </c>
      <c r="U199" s="305"/>
      <c r="V199" s="303">
        <v>1067.03</v>
      </c>
      <c r="X199" s="12"/>
      <c r="Y199" s="13"/>
      <c r="Z199" s="12"/>
    </row>
    <row r="200" spans="1:42" ht="27.75" thickBot="1">
      <c r="B200" s="250">
        <v>6</v>
      </c>
      <c r="C200" s="301" t="s">
        <v>384</v>
      </c>
      <c r="D200" s="302">
        <v>123439.3</v>
      </c>
      <c r="E200" s="302">
        <v>127213.51</v>
      </c>
      <c r="F200" s="302">
        <v>176820.01</v>
      </c>
      <c r="G200" s="302">
        <v>173045.8</v>
      </c>
      <c r="H200" s="302">
        <v>141839.76</v>
      </c>
      <c r="I200" s="304">
        <v>12</v>
      </c>
      <c r="J200" s="304">
        <v>22</v>
      </c>
      <c r="K200" s="305">
        <v>0</v>
      </c>
      <c r="L200" s="305"/>
      <c r="M200" s="305"/>
      <c r="N200" s="305"/>
      <c r="O200" s="305"/>
      <c r="P200" s="306">
        <f t="shared" si="22"/>
        <v>14735.000833333334</v>
      </c>
      <c r="Q200" s="306">
        <f t="shared" si="18"/>
        <v>7865.7181818181816</v>
      </c>
      <c r="R200" s="302">
        <f t="shared" si="19"/>
        <v>3774.210000000021</v>
      </c>
      <c r="S200" s="307">
        <f t="shared" si="20"/>
        <v>0.97865507416270348</v>
      </c>
      <c r="T200" s="308">
        <f t="shared" si="21"/>
        <v>2.1344925837296472E-2</v>
      </c>
      <c r="U200" s="305">
        <v>0</v>
      </c>
      <c r="V200" s="309">
        <v>390</v>
      </c>
      <c r="X200" s="12" t="s">
        <v>33</v>
      </c>
      <c r="Y200" s="13" t="s">
        <v>34</v>
      </c>
      <c r="Z200" s="12" t="s">
        <v>35</v>
      </c>
    </row>
    <row r="201" spans="1:42">
      <c r="C201" s="270" t="s">
        <v>36</v>
      </c>
      <c r="D201" s="262"/>
      <c r="E201" s="262"/>
      <c r="F201" s="271">
        <f>SUM(F195:F200)</f>
        <v>1776748.48</v>
      </c>
      <c r="G201" s="271">
        <f>SUM(G195:G200)</f>
        <v>2177871.1799999997</v>
      </c>
      <c r="I201" s="2"/>
      <c r="J201" s="2"/>
      <c r="Q201" s="264"/>
      <c r="R201" s="262"/>
      <c r="S201" s="266"/>
      <c r="T201" s="267"/>
    </row>
    <row r="202" spans="1:42" ht="14.65" thickBot="1">
      <c r="D202" s="262"/>
      <c r="E202" s="262"/>
      <c r="I202" s="2"/>
      <c r="J202" s="2"/>
      <c r="P202" s="263"/>
      <c r="Q202" s="264"/>
      <c r="R202" s="262"/>
      <c r="S202" s="266"/>
      <c r="T202" s="267"/>
      <c r="X202" s="268"/>
      <c r="Y202" s="269"/>
      <c r="Z202" s="268"/>
    </row>
    <row r="203" spans="1:42" ht="14.65" thickBot="1">
      <c r="C203" s="16" t="s">
        <v>37</v>
      </c>
      <c r="D203" s="272"/>
      <c r="E203" s="272">
        <f>+G209</f>
        <v>219202.5266666667</v>
      </c>
      <c r="F203" s="272">
        <f>+G208</f>
        <v>296124.74666666664</v>
      </c>
      <c r="G203" s="273">
        <f>+AVERAGE(G195:G200)</f>
        <v>362978.52999999997</v>
      </c>
      <c r="I203" s="276">
        <f>+AVERAGE(I195:I200)</f>
        <v>19.5</v>
      </c>
      <c r="J203" s="277">
        <f>+AVERAGE(J195:J200)</f>
        <v>22.333333333333332</v>
      </c>
      <c r="P203" s="311">
        <f>+AVERAGE(P195:P200)</f>
        <v>14407.38334829783</v>
      </c>
      <c r="Q203" s="272">
        <f>+AVERAGE(Q195:Q200)</f>
        <v>15968.983859716529</v>
      </c>
      <c r="R203" s="273">
        <f>+AVERAGE(R195:R200)</f>
        <v>-66853.783333333311</v>
      </c>
      <c r="S203" s="9"/>
      <c r="T203" s="9"/>
      <c r="X203" s="268"/>
      <c r="Y203" s="269"/>
      <c r="Z203" s="268"/>
    </row>
    <row r="204" spans="1:42" ht="14.65" thickBot="1">
      <c r="C204" s="6" t="s">
        <v>38</v>
      </c>
      <c r="D204" s="274"/>
      <c r="E204" s="274">
        <f>(E195*0.05)+(E196*0.1)+(E197*0.1)+(E198*0.15)+(E199*0.25)+(E200*0.35)</f>
        <v>186396.6355</v>
      </c>
      <c r="F204" s="274">
        <f>(F195*0.05)+(F196*0.1)+(F197*0.1)+(F198*0.15)+(F199*0.25)+(F200*0.35)</f>
        <v>270070.451</v>
      </c>
      <c r="G204" s="275">
        <f>(G195*0.05)+(G196*0.1)+(G197*0.1)+(G198*0.15)+(G199*0.25)+(G200*0.35)</f>
        <v>325684.23149999999</v>
      </c>
      <c r="I204" s="9"/>
      <c r="P204" s="312">
        <f>(P195*0.05)+(P196*0.1)+(P197*0.1)+(P198*0.15)+(P199*0.25)+(P200*0.35)</f>
        <v>14420.275236851503</v>
      </c>
      <c r="Q204" s="274">
        <f>(Q195*0.05)+(Q196*0.1)+(Q197*0.1)+(Q198*0.15)+(Q199*0.25)+(Q200*0.35)</f>
        <v>13756.951525448918</v>
      </c>
      <c r="R204" s="275">
        <f>(R195*0.05)+(R196*0.1)+(R197*0.1)+(R198*0.15)+(R199*0.25)+(R200*0.35)</f>
        <v>-55613.780499999986</v>
      </c>
      <c r="S204" s="9"/>
      <c r="T204" s="9"/>
    </row>
    <row r="205" spans="1:42" ht="14.65" thickBot="1"/>
    <row r="206" spans="1:42" ht="14.65" thickBot="1">
      <c r="D206" s="283" t="s">
        <v>39</v>
      </c>
      <c r="E206" s="284"/>
      <c r="F206" s="284"/>
      <c r="G206" s="422">
        <v>48328.31</v>
      </c>
    </row>
    <row r="207" spans="1:42" ht="14.65" thickBot="1">
      <c r="G207" s="278"/>
      <c r="H207" s="18" t="s">
        <v>40</v>
      </c>
    </row>
    <row r="208" spans="1:42">
      <c r="D208" s="16" t="s">
        <v>387</v>
      </c>
      <c r="E208" s="286"/>
      <c r="F208" s="286"/>
      <c r="G208" s="287">
        <f>+AVERAGE(F195:F200)</f>
        <v>296124.74666666664</v>
      </c>
      <c r="H208" s="288"/>
      <c r="I208" s="17" t="s">
        <v>41</v>
      </c>
    </row>
    <row r="209" spans="2:19">
      <c r="D209" s="3" t="s">
        <v>18</v>
      </c>
      <c r="G209" s="279">
        <f>+AVERAGE(E195:E200)</f>
        <v>219202.5266666667</v>
      </c>
      <c r="H209" s="289"/>
      <c r="I209" t="s">
        <v>42</v>
      </c>
    </row>
    <row r="210" spans="2:19">
      <c r="D210" s="3" t="s">
        <v>43</v>
      </c>
      <c r="G210" s="279">
        <f>(E200*0.5)+(E199*0.3)+(E198*0.2)</f>
        <v>180026.84899999999</v>
      </c>
      <c r="H210" s="289"/>
    </row>
    <row r="211" spans="2:19">
      <c r="D211" s="3" t="s">
        <v>44</v>
      </c>
      <c r="G211" s="279">
        <f>AVERAGE(E195:E197)</f>
        <v>222540.27666666664</v>
      </c>
      <c r="H211" s="289"/>
    </row>
    <row r="212" spans="2:19">
      <c r="D212" s="3" t="s">
        <v>351</v>
      </c>
      <c r="G212" s="370">
        <f>(AVERAGE(H198:H200) - AVERAGE(H195:H197)) / MAX(ABS(AVERAGE(H195:H197)), 1000)</f>
        <v>-0.28196669709473354</v>
      </c>
      <c r="H212" s="4">
        <f>IF(G212&gt;=1.2,100,IF(G212&gt;=1,80,IF(G212&gt;=0.8,50,IF(G212&gt;=0.5,30,IF(G212&gt;=0.2,0,-20)))))</f>
        <v>-20</v>
      </c>
      <c r="I212" s="501" t="s">
        <v>354</v>
      </c>
      <c r="J212" s="502"/>
      <c r="K212" s="502"/>
      <c r="L212" s="502"/>
      <c r="M212" s="502"/>
      <c r="N212" s="502"/>
      <c r="O212" s="502"/>
      <c r="P212" s="502"/>
    </row>
    <row r="213" spans="2:19">
      <c r="D213" s="369" t="s">
        <v>352</v>
      </c>
      <c r="E213" s="23"/>
      <c r="F213" s="23"/>
      <c r="G213" s="370">
        <f>(AVERAGE(R198:R200) - AVERAGE(R195:R197)) / MAX(ABS(AVERAGE(R195:R197)), 1000)</f>
        <v>1.0640857333882581</v>
      </c>
      <c r="H213" s="202">
        <f>IF(G213&gt;=1.2,100,IF(G213&gt;=1,80,IF(G213&gt;=0.8,50,IF(G213&gt;=0.5,30,IF(G213&gt;=0.2,0,-20)))))</f>
        <v>80</v>
      </c>
      <c r="I213" s="502"/>
      <c r="J213" s="502"/>
      <c r="K213" s="502"/>
      <c r="L213" s="502"/>
      <c r="M213" s="502"/>
      <c r="N213" s="502"/>
      <c r="O213" s="502"/>
      <c r="P213" s="502"/>
    </row>
    <row r="214" spans="2:19">
      <c r="D214" s="3" t="s">
        <v>45</v>
      </c>
      <c r="G214" s="265">
        <f>(SUM(F195:F200)*G234)/6</f>
        <v>-60978.96530612342</v>
      </c>
      <c r="H214" s="290"/>
      <c r="I214" t="s">
        <v>46</v>
      </c>
    </row>
    <row r="215" spans="2:19">
      <c r="D215" s="3" t="s">
        <v>47</v>
      </c>
      <c r="G215" s="265">
        <f>(R195*0.05)+(R196*0.1)+(R197*0.1)+(R198*0.15)+(R199*0.25)+(R200*0.35)</f>
        <v>-55613.780499999986</v>
      </c>
      <c r="H215" s="290"/>
      <c r="I215" t="s">
        <v>48</v>
      </c>
    </row>
    <row r="216" spans="2:19">
      <c r="D216" s="3" t="s">
        <v>49</v>
      </c>
      <c r="F216" s="280" t="str">
        <f>+IF(G216&lt;0.75,"Muy Sano",IF(G216&lt;0.85,"Sano",IF(G216&lt;0.95,"Presionado",IF(G216&gt;0.95,"Riesgoso"))))</f>
        <v>Riesgoso</v>
      </c>
      <c r="G216" s="281">
        <f>(S195*0.05)+(S196*0.1)+(S197*0.1)+(S198*0.15)+(S199*0.25)+(S200*0.35)</f>
        <v>1.360567446423117</v>
      </c>
      <c r="H216" s="202">
        <f>+IF(G216&lt;0.75,100,IF(G216&lt;0.8,80,IF(G216&lt;0.85,50,IF(G216&lt;0.9,30,IF(G216&lt;0.95,15,IF(G216&lt;1,0,-20))))))</f>
        <v>-20</v>
      </c>
      <c r="I216" t="s">
        <v>50</v>
      </c>
      <c r="S216" t="s">
        <v>355</v>
      </c>
    </row>
    <row r="217" spans="2:19">
      <c r="D217" s="3" t="s">
        <v>21</v>
      </c>
      <c r="G217" s="282">
        <f>+SUM(K195:K200)</f>
        <v>0</v>
      </c>
      <c r="H217" s="289"/>
      <c r="I217" t="s">
        <v>51</v>
      </c>
    </row>
    <row r="218" spans="2:19">
      <c r="D218" s="3" t="s">
        <v>52</v>
      </c>
      <c r="G218" s="15">
        <f>AVERAGE(E195:E200)/AVERAGE(F195:F200)</f>
        <v>0.74023710998193748</v>
      </c>
      <c r="H218" s="202">
        <f>+IF(G218&gt;15%,100,IF(G218&gt;10%,80,IF(G218&gt;5%,60,IF(G218&gt;3%,50,IF(G218&gt;1.5%,20,IF(G218&lt;1.5%,10,IF(G218=0,0,-10)))))))</f>
        <v>100</v>
      </c>
      <c r="I218" t="s">
        <v>53</v>
      </c>
    </row>
    <row r="219" spans="2:19" ht="14.65" thickBot="1">
      <c r="D219" s="6" t="s">
        <v>54</v>
      </c>
      <c r="E219" s="291"/>
      <c r="F219" s="291"/>
      <c r="G219" s="292">
        <f>1 - (STDEV(F195:F200)/AVERAGE(F195:F200))</f>
        <v>0.35606341087878746</v>
      </c>
      <c r="H219" s="293">
        <f>MAX(0,MIN(100,G219*100))</f>
        <v>35.606341087878747</v>
      </c>
      <c r="I219" t="s">
        <v>55</v>
      </c>
    </row>
    <row r="220" spans="2:19" ht="14.65" thickBot="1">
      <c r="H220" s="18" t="s">
        <v>40</v>
      </c>
    </row>
    <row r="221" spans="2:19">
      <c r="B221" s="503"/>
      <c r="C221" s="504"/>
      <c r="D221" s="324"/>
      <c r="E221" s="324"/>
      <c r="F221" s="286"/>
      <c r="G221" s="325"/>
      <c r="H221" s="325"/>
    </row>
    <row r="222" spans="2:19">
      <c r="B222" s="489"/>
      <c r="C222" s="490"/>
      <c r="F222" s="8"/>
      <c r="G222" s="294"/>
      <c r="H222" s="294"/>
    </row>
    <row r="223" spans="2:19">
      <c r="B223" s="493" t="s">
        <v>56</v>
      </c>
      <c r="C223" s="494"/>
      <c r="D223" t="s">
        <v>57</v>
      </c>
      <c r="F223" s="8"/>
      <c r="G223" s="294">
        <f>(SUM(E195:E200)-MAX(E195:E200)-MIN(E195:E200))/(COUNT(E195:E200)-2)</f>
        <v>204631.12500000003</v>
      </c>
      <c r="H223" s="295"/>
      <c r="I223" t="s">
        <v>58</v>
      </c>
    </row>
    <row r="224" spans="2:19">
      <c r="B224" s="493" t="s">
        <v>56</v>
      </c>
      <c r="C224" s="494"/>
      <c r="D224" t="s">
        <v>59</v>
      </c>
      <c r="F224" s="8"/>
      <c r="G224" s="294">
        <f>+G223/G206</f>
        <v>4.2341874772778114</v>
      </c>
      <c r="H224" s="295">
        <f>IF(G224&lt;0.5,0,IF(G224&lt;1,20,IF(G224&lt;2,50,IF(G224&lt;3,70,IF(G224&lt;5,90,100)))))</f>
        <v>90</v>
      </c>
      <c r="I224" t="s">
        <v>60</v>
      </c>
    </row>
    <row r="225" spans="2:21">
      <c r="B225" s="487" t="s">
        <v>61</v>
      </c>
      <c r="C225" s="488"/>
      <c r="D225" t="s">
        <v>30</v>
      </c>
      <c r="G225" s="294">
        <f>_xlfn.STDEV.S(F195:F200)/AVERAGE(F195:F200)</f>
        <v>0.64393658912121254</v>
      </c>
      <c r="H225" s="294">
        <f>MAX(0,100-(G225*40))</f>
        <v>74.242536435151493</v>
      </c>
      <c r="I225" s="17" t="s">
        <v>62</v>
      </c>
    </row>
    <row r="226" spans="2:21">
      <c r="B226" s="505" t="s">
        <v>63</v>
      </c>
      <c r="C226" s="506"/>
      <c r="D226" t="s">
        <v>64</v>
      </c>
      <c r="G226" s="316">
        <f>((E200+E199+E198)/3)/((E195+E196+E197)/3)</f>
        <v>0.97000318279464137</v>
      </c>
      <c r="H226" s="374" t="str">
        <f>IF(G226&gt;=1.2,"liquidez mejora fuerte",IF(G226&gt;=1,"liquidez estable",IF(G226&gt;=0.8,"liquidez deteriora leve","liquidez deteriora fuerte")))</f>
        <v>liquidez deteriora leve</v>
      </c>
      <c r="I226" t="s">
        <v>65</v>
      </c>
    </row>
    <row r="227" spans="2:21">
      <c r="B227" s="489"/>
      <c r="C227" s="490"/>
      <c r="G227" s="294"/>
      <c r="H227" s="294"/>
    </row>
    <row r="228" spans="2:21">
      <c r="B228" s="487" t="s">
        <v>61</v>
      </c>
      <c r="C228" s="488"/>
      <c r="D228" t="s">
        <v>66</v>
      </c>
      <c r="G228" s="294">
        <f>MIN(3,STDEV(R195:R200)/MAX(ABS(AVERAGE(R195:R200)),1000))</f>
        <v>3</v>
      </c>
      <c r="H228" s="294">
        <f>MAX(0,100-(G228*30))</f>
        <v>10</v>
      </c>
      <c r="I228" t="s">
        <v>67</v>
      </c>
      <c r="R228" t="s">
        <v>68</v>
      </c>
    </row>
    <row r="229" spans="2:21">
      <c r="B229" s="489"/>
      <c r="C229" s="490"/>
      <c r="G229" s="294"/>
      <c r="H229" s="294"/>
    </row>
    <row r="230" spans="2:21">
      <c r="B230" s="491" t="s">
        <v>69</v>
      </c>
      <c r="C230" s="492"/>
      <c r="D230" t="s">
        <v>70</v>
      </c>
      <c r="F230" s="7"/>
      <c r="G230" s="294">
        <f>G214-(STDEV(R195:R200)*0.25)</f>
        <v>-112492.04626971288</v>
      </c>
      <c r="H230" s="294"/>
      <c r="I230" t="s">
        <v>71</v>
      </c>
    </row>
    <row r="231" spans="2:21">
      <c r="B231" s="491" t="s">
        <v>69</v>
      </c>
      <c r="C231" s="492"/>
      <c r="D231" t="s">
        <v>72</v>
      </c>
      <c r="F231" s="7"/>
      <c r="G231" s="294">
        <f>+G230/G206</f>
        <v>-2.3276635634416531</v>
      </c>
      <c r="H231" s="296"/>
      <c r="I231" t="s">
        <v>73</v>
      </c>
      <c r="U231" t="s">
        <v>353</v>
      </c>
    </row>
    <row r="232" spans="2:21">
      <c r="B232" s="491" t="s">
        <v>69</v>
      </c>
      <c r="C232" s="492"/>
      <c r="D232" t="s">
        <v>74</v>
      </c>
      <c r="G232" s="297">
        <f>+G231/P237</f>
        <v>-0.846423113978783</v>
      </c>
      <c r="H232" s="294">
        <f>IF((G231/P237)&gt;=1.5,100,IF((G231/P237)&gt;=1.2,80,IF((G231/P237)&gt;=1,60,IF((G231/P237)&gt;=0.8,40,0))))</f>
        <v>0</v>
      </c>
    </row>
    <row r="233" spans="2:21">
      <c r="B233" s="493" t="s">
        <v>56</v>
      </c>
      <c r="C233" s="494"/>
      <c r="D233" t="s">
        <v>75</v>
      </c>
      <c r="F233" s="7"/>
      <c r="G233" s="294">
        <f>SUM(F195:F200)/SUM(G195:G200)</f>
        <v>0.81581890440370319</v>
      </c>
      <c r="H233" s="371">
        <f>IF(G233&gt;=1.1,100,IF(G233&gt;=1.05,80,IF(G233&gt;=1,70,IF(G233&gt;=0.95,50,IF(G233&gt;=0.85,35,10)))))</f>
        <v>10</v>
      </c>
      <c r="I233" t="s">
        <v>76</v>
      </c>
      <c r="Q233" s="23" t="s">
        <v>359</v>
      </c>
    </row>
    <row r="234" spans="2:21" ht="14.65" thickBot="1">
      <c r="B234" s="495" t="s">
        <v>69</v>
      </c>
      <c r="C234" s="496"/>
      <c r="D234" s="291" t="s">
        <v>15</v>
      </c>
      <c r="E234" s="291"/>
      <c r="F234" s="298"/>
      <c r="G234" s="299">
        <f>+(F204-G204)/F204</f>
        <v>-0.20592323334180679</v>
      </c>
      <c r="H234" s="300">
        <f>IF(G234&gt;=0.2,100,
IF(G234&gt;=0.1,80,
IF(G234&gt;=0.05,60,
IF(G234&gt;=0,40,
IF(G234&gt;=-0.05,20,0)))))</f>
        <v>0</v>
      </c>
      <c r="I234" t="s">
        <v>77</v>
      </c>
    </row>
    <row r="235" spans="2:21" ht="14.65" thickBot="1"/>
    <row r="236" spans="2:21">
      <c r="B236" s="497" t="s">
        <v>78</v>
      </c>
      <c r="C236" s="498"/>
      <c r="D236" s="189" t="s">
        <v>79</v>
      </c>
      <c r="E236" s="189" t="s">
        <v>40</v>
      </c>
      <c r="F236" s="183"/>
      <c r="I236" s="253" t="s">
        <v>80</v>
      </c>
      <c r="J236" s="375">
        <v>3</v>
      </c>
      <c r="K236" s="256" t="s">
        <v>81</v>
      </c>
      <c r="L236" s="256"/>
      <c r="M236" s="256"/>
      <c r="N236" s="256"/>
      <c r="O236" s="256"/>
      <c r="P236" s="254" t="s">
        <v>82</v>
      </c>
      <c r="Q236" s="254" t="s">
        <v>83</v>
      </c>
    </row>
    <row r="237" spans="2:21">
      <c r="B237" s="184"/>
      <c r="C237" s="182" t="s">
        <v>84</v>
      </c>
      <c r="D237" s="185">
        <v>0.6</v>
      </c>
      <c r="E237" s="15">
        <f>+H232</f>
        <v>0</v>
      </c>
      <c r="F237" s="181"/>
      <c r="I237" s="24" t="s">
        <v>85</v>
      </c>
      <c r="J237" s="4">
        <v>2.75</v>
      </c>
      <c r="K237" s="421">
        <v>36</v>
      </c>
      <c r="L237" s="256"/>
      <c r="M237" s="256"/>
      <c r="N237" s="256"/>
      <c r="O237" s="256"/>
      <c r="P237" s="254">
        <f>+IF(K237&lt;=24,J236,IF(K237&lt;=36,J237,IF(K237&lt;=48,J238,IF(K237&lt;=60,J239,"2"))))</f>
        <v>2.75</v>
      </c>
      <c r="Q237" s="255">
        <f>+IF(K237&lt;24,30.2%,IF(K237&lt;36,26%,IF(K237&lt;48,24.55%,IF(K237&lt;60,23.82%,"0%"))))</f>
        <v>0.2455</v>
      </c>
    </row>
    <row r="238" spans="2:21">
      <c r="B238" s="184"/>
      <c r="C238" s="182" t="s">
        <v>86</v>
      </c>
      <c r="D238" s="185">
        <v>0.25</v>
      </c>
      <c r="E238" s="15">
        <f>+H216</f>
        <v>-20</v>
      </c>
      <c r="F238" s="181"/>
      <c r="I238" s="24" t="s">
        <v>87</v>
      </c>
      <c r="J238" s="4">
        <v>2.5</v>
      </c>
    </row>
    <row r="239" spans="2:21" ht="14.65" thickBot="1">
      <c r="B239" s="184"/>
      <c r="C239" s="182" t="s">
        <v>15</v>
      </c>
      <c r="D239" s="185">
        <v>0.15</v>
      </c>
      <c r="E239" s="15">
        <f>+H234</f>
        <v>0</v>
      </c>
      <c r="F239" s="181"/>
      <c r="I239" s="50" t="s">
        <v>88</v>
      </c>
      <c r="J239" s="317">
        <v>2.25</v>
      </c>
    </row>
    <row r="240" spans="2:21" ht="14.65" thickBot="1">
      <c r="B240" s="186"/>
      <c r="C240" s="187"/>
      <c r="D240" s="187"/>
      <c r="E240" s="188" t="s">
        <v>89</v>
      </c>
      <c r="F240" s="195">
        <f>E237*D237 + E238*D238 + E239*D239</f>
        <v>-5</v>
      </c>
    </row>
    <row r="241" spans="2:16" ht="14.65" thickBot="1">
      <c r="B241" s="499" t="s">
        <v>90</v>
      </c>
      <c r="C241" s="500"/>
      <c r="D241" s="189" t="s">
        <v>79</v>
      </c>
      <c r="E241" s="189" t="s">
        <v>40</v>
      </c>
      <c r="F241" s="183"/>
      <c r="H241" s="9"/>
      <c r="I241" s="313" t="s">
        <v>91</v>
      </c>
      <c r="J241" s="314"/>
      <c r="K241" s="315" t="s">
        <v>92</v>
      </c>
      <c r="L241" s="410"/>
      <c r="M241" s="410"/>
      <c r="N241" s="410"/>
      <c r="O241" s="410"/>
      <c r="P241" s="314"/>
    </row>
    <row r="242" spans="2:16">
      <c r="B242" s="184"/>
      <c r="C242" s="182" t="s">
        <v>93</v>
      </c>
      <c r="D242" s="190">
        <v>0.5</v>
      </c>
      <c r="E242" s="15">
        <f>+H224</f>
        <v>90</v>
      </c>
      <c r="F242" s="181"/>
      <c r="H242" s="182" t="s">
        <v>94</v>
      </c>
      <c r="I242" s="476">
        <f>+G209/P237</f>
        <v>79710.009696969704</v>
      </c>
      <c r="J242" s="477"/>
      <c r="K242" s="478">
        <f>ABS(PV(Q237/12,K237,I242))</f>
        <v>2016840.710895461</v>
      </c>
      <c r="L242" s="479"/>
      <c r="M242" s="479"/>
      <c r="N242" s="479"/>
      <c r="O242" s="479"/>
      <c r="P242" s="480"/>
    </row>
    <row r="243" spans="2:16">
      <c r="B243" s="184"/>
      <c r="C243" s="182" t="s">
        <v>95</v>
      </c>
      <c r="D243" s="190">
        <v>0.3</v>
      </c>
      <c r="E243" s="15">
        <f>+H233</f>
        <v>10</v>
      </c>
      <c r="F243" s="181"/>
      <c r="H243" s="182" t="s">
        <v>96</v>
      </c>
      <c r="I243" s="476">
        <f>+G208/P237</f>
        <v>107681.72606060606</v>
      </c>
      <c r="J243" s="477"/>
      <c r="K243" s="478">
        <f>ABS(PV(Q237/12,K237,I243))</f>
        <v>2724587.4108428233</v>
      </c>
      <c r="L243" s="479"/>
      <c r="M243" s="479"/>
      <c r="N243" s="479"/>
      <c r="O243" s="479"/>
      <c r="P243" s="480"/>
    </row>
    <row r="244" spans="2:16" ht="14.65" thickBot="1">
      <c r="B244" s="184"/>
      <c r="C244" s="8" t="s">
        <v>97</v>
      </c>
      <c r="D244" s="185">
        <v>0.2</v>
      </c>
      <c r="E244" s="15">
        <f>+H218</f>
        <v>100</v>
      </c>
      <c r="F244" s="181"/>
      <c r="H244" s="257" t="s">
        <v>98</v>
      </c>
      <c r="I244" s="481">
        <f>+G210/P237</f>
        <v>65464.308727272721</v>
      </c>
      <c r="J244" s="482"/>
      <c r="K244" s="483">
        <f>ABS(PV(Q237/12,K237,I244))</f>
        <v>1656392.7598770824</v>
      </c>
      <c r="L244" s="484"/>
      <c r="M244" s="484"/>
      <c r="N244" s="484"/>
      <c r="O244" s="484"/>
      <c r="P244" s="485"/>
    </row>
    <row r="245" spans="2:16" ht="14.65" thickBot="1">
      <c r="B245" s="191"/>
      <c r="C245" s="182"/>
      <c r="D245" s="187"/>
      <c r="E245" s="188" t="s">
        <v>89</v>
      </c>
      <c r="F245" s="195">
        <f xml:space="preserve"> E242*D242 + E243*D243+E244*D244</f>
        <v>68</v>
      </c>
    </row>
    <row r="246" spans="2:16">
      <c r="B246" s="196" t="s">
        <v>99</v>
      </c>
      <c r="C246" s="197"/>
      <c r="D246" s="189" t="s">
        <v>79</v>
      </c>
      <c r="E246" s="189" t="s">
        <v>40</v>
      </c>
      <c r="F246" s="183"/>
      <c r="I246" s="486" t="s">
        <v>100</v>
      </c>
      <c r="J246" s="486"/>
      <c r="P246" s="8"/>
    </row>
    <row r="247" spans="2:16">
      <c r="B247" s="184"/>
      <c r="C247" s="182" t="s">
        <v>101</v>
      </c>
      <c r="D247" s="7">
        <v>0.6</v>
      </c>
      <c r="E247" s="15">
        <f>+H228</f>
        <v>10</v>
      </c>
      <c r="F247" s="181"/>
      <c r="I247" t="s">
        <v>102</v>
      </c>
      <c r="J247" t="s">
        <v>103</v>
      </c>
    </row>
    <row r="248" spans="2:16" ht="14.65" thickBot="1">
      <c r="B248" s="184"/>
      <c r="C248" s="182" t="s">
        <v>104</v>
      </c>
      <c r="D248" s="7">
        <v>0.4</v>
      </c>
      <c r="E248" s="201">
        <f>+H219</f>
        <v>35.606341087878747</v>
      </c>
      <c r="F248" s="181"/>
      <c r="I248" s="8" t="s">
        <v>105</v>
      </c>
      <c r="J248" t="s">
        <v>106</v>
      </c>
    </row>
    <row r="249" spans="2:16" ht="14.65" thickBot="1">
      <c r="B249" s="192"/>
      <c r="E249" s="193" t="s">
        <v>89</v>
      </c>
      <c r="F249" s="195">
        <f xml:space="preserve"> E247*D247 + E248*D248</f>
        <v>20.2425364351515</v>
      </c>
      <c r="I249" s="8" t="s">
        <v>107</v>
      </c>
      <c r="J249" t="s">
        <v>108</v>
      </c>
    </row>
    <row r="250" spans="2:16">
      <c r="B250" s="198" t="s">
        <v>109</v>
      </c>
      <c r="C250" s="199"/>
      <c r="D250" s="189" t="s">
        <v>79</v>
      </c>
      <c r="E250" s="189" t="s">
        <v>40</v>
      </c>
      <c r="F250" s="183"/>
      <c r="I250" s="8" t="s">
        <v>110</v>
      </c>
      <c r="J250" t="s">
        <v>111</v>
      </c>
    </row>
    <row r="251" spans="2:16" ht="14.65" thickBot="1">
      <c r="B251" s="194"/>
      <c r="C251" s="182" t="s">
        <v>112</v>
      </c>
      <c r="D251" s="7">
        <v>1</v>
      </c>
      <c r="E251" s="2">
        <f>+H212</f>
        <v>-20</v>
      </c>
      <c r="F251" s="181"/>
      <c r="I251" s="8" t="s">
        <v>113</v>
      </c>
      <c r="J251" t="s">
        <v>114</v>
      </c>
    </row>
    <row r="252" spans="2:16" ht="14.65" thickBot="1">
      <c r="B252" s="186"/>
      <c r="C252" s="187"/>
      <c r="D252" s="187"/>
      <c r="E252" s="188" t="s">
        <v>89</v>
      </c>
      <c r="F252" s="195">
        <f>+ E251*D251</f>
        <v>-20</v>
      </c>
      <c r="I252" s="8" t="s">
        <v>115</v>
      </c>
      <c r="J252" t="s">
        <v>106</v>
      </c>
    </row>
    <row r="253" spans="2:16" ht="14.65" thickBot="1">
      <c r="I253" s="8" t="s">
        <v>350</v>
      </c>
      <c r="J253" t="s">
        <v>108</v>
      </c>
    </row>
    <row r="254" spans="2:16">
      <c r="E254" s="423" t="s">
        <v>116</v>
      </c>
      <c r="F254" s="424">
        <f>(F240*0.4)+
(F245*0.3)+
(F249*0.2)+
(F252*0.1)</f>
        <v>20.448507287030299</v>
      </c>
    </row>
    <row r="255" spans="2:16">
      <c r="E255" s="425" t="s">
        <v>117</v>
      </c>
      <c r="F255" s="426">
        <f>MIN(1000,MAX(0,F254*10))</f>
        <v>204.48507287030299</v>
      </c>
    </row>
    <row r="256" spans="2:16" ht="14.65" thickBot="1"/>
    <row r="257" spans="1:42" ht="27" thickBot="1">
      <c r="A257" s="453" t="s">
        <v>393</v>
      </c>
      <c r="B257" s="454"/>
      <c r="C257" s="454"/>
      <c r="D257" s="454"/>
      <c r="E257" s="454"/>
      <c r="F257" s="388"/>
      <c r="G257" s="388"/>
      <c r="H257" s="389"/>
      <c r="I257" s="386"/>
      <c r="J257" s="386"/>
      <c r="K257" s="386"/>
      <c r="L257" s="386"/>
      <c r="M257" s="386"/>
      <c r="N257" s="386"/>
      <c r="O257" s="386"/>
      <c r="P257" s="386"/>
      <c r="Q257" s="386"/>
      <c r="R257" s="386"/>
      <c r="S257" s="386"/>
      <c r="T257" s="386"/>
      <c r="U257" s="386"/>
      <c r="V257" s="386"/>
      <c r="W257" s="386"/>
      <c r="X257" s="386"/>
      <c r="Y257" s="386"/>
      <c r="Z257" s="386"/>
      <c r="AA257" s="386"/>
      <c r="AB257" s="386"/>
      <c r="AC257" s="386"/>
      <c r="AD257" s="386"/>
      <c r="AE257" s="386"/>
      <c r="AF257" s="386"/>
      <c r="AG257" s="386"/>
      <c r="AH257" s="386"/>
      <c r="AI257" s="386"/>
      <c r="AJ257" s="386"/>
      <c r="AK257" s="386"/>
      <c r="AL257" s="386"/>
      <c r="AM257" s="386"/>
      <c r="AN257" s="386"/>
      <c r="AO257" s="386"/>
      <c r="AP257" s="390"/>
    </row>
    <row r="258" spans="1:42" ht="42.75" customHeight="1" thickBot="1">
      <c r="B258" s="405" t="s">
        <v>1</v>
      </c>
      <c r="C258" s="406" t="s">
        <v>2</v>
      </c>
      <c r="D258" s="406" t="s">
        <v>3</v>
      </c>
      <c r="E258" s="406" t="s">
        <v>4</v>
      </c>
      <c r="F258" s="406" t="s">
        <v>5</v>
      </c>
      <c r="G258" s="406" t="s">
        <v>6</v>
      </c>
      <c r="H258" s="406" t="s">
        <v>7</v>
      </c>
      <c r="I258" s="407" t="s">
        <v>388</v>
      </c>
      <c r="J258" s="407" t="s">
        <v>385</v>
      </c>
      <c r="K258" s="406" t="s">
        <v>386</v>
      </c>
      <c r="L258" s="406" t="s">
        <v>391</v>
      </c>
      <c r="M258" s="406" t="s">
        <v>392</v>
      </c>
      <c r="N258" s="406" t="s">
        <v>389</v>
      </c>
      <c r="O258" s="406" t="s">
        <v>390</v>
      </c>
      <c r="P258" s="406" t="s">
        <v>11</v>
      </c>
      <c r="Q258" s="406" t="s">
        <v>12</v>
      </c>
      <c r="R258" s="406" t="s">
        <v>13</v>
      </c>
      <c r="S258" s="406" t="s">
        <v>14</v>
      </c>
      <c r="T258" s="406" t="s">
        <v>15</v>
      </c>
      <c r="U258" s="406" t="s">
        <v>16</v>
      </c>
      <c r="V258" s="408" t="s">
        <v>17</v>
      </c>
      <c r="X258" s="394" t="s">
        <v>18</v>
      </c>
      <c r="Y258" s="395" t="s">
        <v>19</v>
      </c>
      <c r="Z258" s="394" t="s">
        <v>20</v>
      </c>
    </row>
    <row r="259" spans="1:42" ht="27.75" thickBot="1">
      <c r="B259" s="248">
        <v>1</v>
      </c>
      <c r="C259" s="396" t="s">
        <v>379</v>
      </c>
      <c r="D259" s="397">
        <v>29053.68</v>
      </c>
      <c r="E259" s="397">
        <v>18873.72</v>
      </c>
      <c r="F259" s="398">
        <v>356911.47</v>
      </c>
      <c r="G259" s="397">
        <v>367091.43</v>
      </c>
      <c r="H259" s="397">
        <v>91707.55</v>
      </c>
      <c r="I259" s="399">
        <v>34</v>
      </c>
      <c r="J259" s="399">
        <v>23</v>
      </c>
      <c r="K259" s="400">
        <v>0</v>
      </c>
      <c r="L259" s="400"/>
      <c r="M259" s="400"/>
      <c r="N259" s="400"/>
      <c r="O259" s="400"/>
      <c r="P259" s="401">
        <f t="shared" ref="P259:P264" si="23">+F259/I259</f>
        <v>10497.396176470587</v>
      </c>
      <c r="Q259" s="401">
        <f t="shared" ref="Q259:Q264" si="24">+G259/J259</f>
        <v>15960.496956521738</v>
      </c>
      <c r="R259" s="397">
        <f t="shared" ref="R259:R264" si="25">+F259-G259</f>
        <v>-10179.960000000021</v>
      </c>
      <c r="S259" s="402">
        <f t="shared" ref="S259:S264" si="26">+G259/F259</f>
        <v>1.0285223671853416</v>
      </c>
      <c r="T259" s="403">
        <f t="shared" ref="T259:T264" si="27">(+F259-G259)/F259</f>
        <v>-2.8522367185341568E-2</v>
      </c>
      <c r="U259" s="400">
        <v>0</v>
      </c>
      <c r="V259" s="404">
        <v>26</v>
      </c>
      <c r="X259" s="12" t="s">
        <v>21</v>
      </c>
      <c r="Y259" s="13" t="s">
        <v>22</v>
      </c>
      <c r="Z259" s="12" t="s">
        <v>23</v>
      </c>
    </row>
    <row r="260" spans="1:42" ht="28.15" thickBot="1">
      <c r="B260" s="249">
        <v>2</v>
      </c>
      <c r="C260" s="301" t="s">
        <v>380</v>
      </c>
      <c r="D260" s="302">
        <v>18873.72</v>
      </c>
      <c r="E260" s="302">
        <v>54305.17</v>
      </c>
      <c r="F260" s="302">
        <v>389996.37</v>
      </c>
      <c r="G260" s="302">
        <v>354564.92</v>
      </c>
      <c r="H260" s="302">
        <v>170916.98</v>
      </c>
      <c r="I260" s="304">
        <v>38</v>
      </c>
      <c r="J260" s="304">
        <v>23</v>
      </c>
      <c r="K260" s="305">
        <v>0</v>
      </c>
      <c r="L260" s="305"/>
      <c r="M260" s="305"/>
      <c r="N260" s="305"/>
      <c r="O260" s="305"/>
      <c r="P260" s="306">
        <f t="shared" si="23"/>
        <v>10263.062368421053</v>
      </c>
      <c r="Q260" s="306">
        <f t="shared" si="24"/>
        <v>15415.866086956521</v>
      </c>
      <c r="R260" s="302">
        <f t="shared" si="25"/>
        <v>35431.450000000012</v>
      </c>
      <c r="S260" s="307">
        <f t="shared" si="26"/>
        <v>0.90914928259460459</v>
      </c>
      <c r="T260" s="308">
        <f t="shared" si="27"/>
        <v>9.0850717405395368E-2</v>
      </c>
      <c r="U260" s="305">
        <v>0</v>
      </c>
      <c r="V260" s="310">
        <v>401.19</v>
      </c>
      <c r="X260" s="12" t="s">
        <v>24</v>
      </c>
      <c r="Y260" s="13" t="s">
        <v>25</v>
      </c>
      <c r="Z260" s="12" t="s">
        <v>26</v>
      </c>
    </row>
    <row r="261" spans="1:42" ht="27.75" thickBot="1">
      <c r="B261" s="249">
        <v>3</v>
      </c>
      <c r="C261" s="301" t="s">
        <v>381</v>
      </c>
      <c r="D261" s="302">
        <v>54305.17</v>
      </c>
      <c r="E261" s="302">
        <v>86655.43</v>
      </c>
      <c r="F261" s="303">
        <v>475826.91</v>
      </c>
      <c r="G261" s="302">
        <v>443476.65</v>
      </c>
      <c r="H261" s="302">
        <v>231466.9</v>
      </c>
      <c r="I261" s="304">
        <v>48</v>
      </c>
      <c r="J261" s="304">
        <v>23</v>
      </c>
      <c r="K261" s="305">
        <v>0</v>
      </c>
      <c r="L261" s="305"/>
      <c r="M261" s="305"/>
      <c r="N261" s="305"/>
      <c r="O261" s="305"/>
      <c r="P261" s="306">
        <f t="shared" si="23"/>
        <v>9913.0606250000001</v>
      </c>
      <c r="Q261" s="306">
        <f t="shared" si="24"/>
        <v>19281.593478260871</v>
      </c>
      <c r="R261" s="302">
        <f t="shared" si="25"/>
        <v>32350.259999999951</v>
      </c>
      <c r="S261" s="307">
        <f t="shared" si="26"/>
        <v>0.93201254632698272</v>
      </c>
      <c r="T261" s="308">
        <f t="shared" si="27"/>
        <v>6.7987453673017256E-2</v>
      </c>
      <c r="U261" s="305">
        <v>0</v>
      </c>
      <c r="V261" s="309"/>
      <c r="X261" s="12" t="s">
        <v>27</v>
      </c>
      <c r="Y261" s="13" t="s">
        <v>28</v>
      </c>
      <c r="Z261" s="14" t="s">
        <v>29</v>
      </c>
    </row>
    <row r="262" spans="1:42" ht="27.75" thickBot="1">
      <c r="B262" s="249">
        <v>4</v>
      </c>
      <c r="C262" s="301" t="s">
        <v>382</v>
      </c>
      <c r="D262" s="302">
        <v>86655.43</v>
      </c>
      <c r="E262" s="302">
        <v>95859.46</v>
      </c>
      <c r="F262" s="302">
        <v>396938.45</v>
      </c>
      <c r="G262" s="302">
        <v>387734.42</v>
      </c>
      <c r="H262" s="302">
        <v>165061.56</v>
      </c>
      <c r="I262" s="304">
        <v>36</v>
      </c>
      <c r="J262" s="304">
        <v>23</v>
      </c>
      <c r="K262" s="305">
        <v>0</v>
      </c>
      <c r="L262" s="305"/>
      <c r="M262" s="305"/>
      <c r="N262" s="305"/>
      <c r="O262" s="305"/>
      <c r="P262" s="306">
        <f t="shared" si="23"/>
        <v>11026.068055555555</v>
      </c>
      <c r="Q262" s="306">
        <f t="shared" si="24"/>
        <v>16858.018260869565</v>
      </c>
      <c r="R262" s="302">
        <f t="shared" si="25"/>
        <v>9204.0300000000279</v>
      </c>
      <c r="S262" s="307">
        <f t="shared" si="26"/>
        <v>0.97681245039375741</v>
      </c>
      <c r="T262" s="308">
        <f t="shared" si="27"/>
        <v>2.3187549606242547E-2</v>
      </c>
      <c r="U262" s="305">
        <v>0</v>
      </c>
      <c r="V262" s="310">
        <v>390</v>
      </c>
      <c r="X262" s="12" t="s">
        <v>30</v>
      </c>
      <c r="Y262" s="13" t="s">
        <v>31</v>
      </c>
      <c r="Z262" s="12" t="s">
        <v>32</v>
      </c>
    </row>
    <row r="263" spans="1:42" ht="14.65" thickBot="1">
      <c r="B263" s="249">
        <v>5</v>
      </c>
      <c r="C263" s="301" t="s">
        <v>383</v>
      </c>
      <c r="D263" s="302">
        <v>95859.46</v>
      </c>
      <c r="E263" s="302">
        <v>62570.48</v>
      </c>
      <c r="F263" s="302">
        <v>348883.88</v>
      </c>
      <c r="G263" s="302">
        <v>382172.86</v>
      </c>
      <c r="H263" s="302">
        <v>158338.20000000001</v>
      </c>
      <c r="I263" s="304">
        <v>39</v>
      </c>
      <c r="J263" s="304">
        <v>23</v>
      </c>
      <c r="K263" s="305"/>
      <c r="L263" s="305"/>
      <c r="M263" s="305"/>
      <c r="N263" s="305"/>
      <c r="O263" s="305"/>
      <c r="P263" s="306">
        <f t="shared" si="23"/>
        <v>8945.7405128205137</v>
      </c>
      <c r="Q263" s="306">
        <f t="shared" si="24"/>
        <v>16616.211304347824</v>
      </c>
      <c r="R263" s="302">
        <f t="shared" si="25"/>
        <v>-33288.979999999981</v>
      </c>
      <c r="S263" s="307">
        <f t="shared" si="26"/>
        <v>1.0954156437379681</v>
      </c>
      <c r="T263" s="308">
        <f t="shared" si="27"/>
        <v>-9.5415643737968001E-2</v>
      </c>
      <c r="U263" s="305"/>
      <c r="V263" s="303">
        <v>1067.03</v>
      </c>
      <c r="X263" s="12"/>
      <c r="Y263" s="13"/>
      <c r="Z263" s="12"/>
    </row>
    <row r="264" spans="1:42" ht="27.75" thickBot="1">
      <c r="B264" s="250">
        <v>6</v>
      </c>
      <c r="C264" s="301" t="s">
        <v>384</v>
      </c>
      <c r="D264" s="302">
        <v>62570.48</v>
      </c>
      <c r="E264" s="302">
        <v>68872.009999999995</v>
      </c>
      <c r="F264" s="302">
        <v>1047965.31</v>
      </c>
      <c r="G264" s="302">
        <v>1041663.78</v>
      </c>
      <c r="H264" s="302">
        <v>247977.15</v>
      </c>
      <c r="I264" s="304">
        <v>46</v>
      </c>
      <c r="J264" s="304">
        <v>24</v>
      </c>
      <c r="K264" s="305">
        <v>0</v>
      </c>
      <c r="L264" s="305"/>
      <c r="M264" s="305"/>
      <c r="N264" s="305"/>
      <c r="O264" s="305"/>
      <c r="P264" s="306">
        <f t="shared" si="23"/>
        <v>22781.854565217393</v>
      </c>
      <c r="Q264" s="306">
        <f t="shared" si="24"/>
        <v>43402.657500000001</v>
      </c>
      <c r="R264" s="302">
        <f t="shared" si="25"/>
        <v>6301.5300000000279</v>
      </c>
      <c r="S264" s="307">
        <f t="shared" si="26"/>
        <v>0.99398689065385182</v>
      </c>
      <c r="T264" s="308">
        <f t="shared" si="27"/>
        <v>6.0131093461481353E-3</v>
      </c>
      <c r="U264" s="305">
        <v>0</v>
      </c>
      <c r="V264" s="309">
        <v>390</v>
      </c>
      <c r="X264" s="12" t="s">
        <v>33</v>
      </c>
      <c r="Y264" s="13" t="s">
        <v>34</v>
      </c>
      <c r="Z264" s="12" t="s">
        <v>35</v>
      </c>
    </row>
    <row r="265" spans="1:42">
      <c r="C265" s="270" t="s">
        <v>36</v>
      </c>
      <c r="D265" s="262"/>
      <c r="E265" s="262"/>
      <c r="F265" s="271">
        <f>SUM(F259:F264)</f>
        <v>3016522.39</v>
      </c>
      <c r="G265" s="271">
        <f>SUM(G259:G264)</f>
        <v>2976704.0599999996</v>
      </c>
      <c r="I265" s="2"/>
      <c r="J265" s="2"/>
      <c r="Q265" s="264"/>
      <c r="R265" s="262"/>
      <c r="S265" s="266"/>
      <c r="T265" s="267"/>
    </row>
    <row r="266" spans="1:42" ht="14.65" thickBot="1">
      <c r="D266" s="262"/>
      <c r="E266" s="262"/>
      <c r="I266" s="2"/>
      <c r="J266" s="2"/>
      <c r="P266" s="263"/>
      <c r="Q266" s="264"/>
      <c r="R266" s="262"/>
      <c r="S266" s="266"/>
      <c r="T266" s="267"/>
      <c r="X266" s="268"/>
      <c r="Y266" s="269"/>
      <c r="Z266" s="268"/>
    </row>
    <row r="267" spans="1:42" ht="14.65" thickBot="1">
      <c r="C267" s="16" t="s">
        <v>37</v>
      </c>
      <c r="D267" s="272"/>
      <c r="E267" s="272">
        <f>+G273</f>
        <v>64522.71166666667</v>
      </c>
      <c r="F267" s="272">
        <f>+G272</f>
        <v>502753.73166666669</v>
      </c>
      <c r="G267" s="273">
        <f>+AVERAGE(G259:G264)</f>
        <v>496117.34333333327</v>
      </c>
      <c r="I267" s="276">
        <f>+AVERAGE(I259:I264)</f>
        <v>40.166666666666664</v>
      </c>
      <c r="J267" s="277">
        <f>+AVERAGE(J259:J264)</f>
        <v>23.166666666666668</v>
      </c>
      <c r="P267" s="311">
        <f>+AVERAGE(P259:P264)</f>
        <v>12237.863717247516</v>
      </c>
      <c r="Q267" s="272">
        <f>+AVERAGE(Q259:Q264)</f>
        <v>21255.807264492756</v>
      </c>
      <c r="R267" s="273">
        <f>+AVERAGE(R259:R264)</f>
        <v>6636.388333333336</v>
      </c>
      <c r="S267" s="9"/>
      <c r="T267" s="9"/>
      <c r="X267" s="268"/>
      <c r="Y267" s="269"/>
      <c r="Z267" s="268"/>
    </row>
    <row r="268" spans="1:42" ht="14.65" thickBot="1">
      <c r="C268" s="6" t="s">
        <v>38</v>
      </c>
      <c r="D268" s="274"/>
      <c r="E268" s="274">
        <f>(E259*0.05)+(E260*0.1)+(E261*0.1)+(E262*0.15)+(E263*0.25)+(E264*0.35)</f>
        <v>69166.488500000007</v>
      </c>
      <c r="F268" s="274">
        <f>(F259*0.05)+(F260*0.1)+(F261*0.1)+(F262*0.15)+(F263*0.25)+(F264*0.35)</f>
        <v>617977.49749999994</v>
      </c>
      <c r="G268" s="275">
        <f>(G259*0.05)+(G260*0.1)+(G261*0.1)+(G262*0.15)+(G263*0.25)+(G264*0.35)</f>
        <v>616444.42949999997</v>
      </c>
      <c r="I268" s="9"/>
      <c r="P268" s="312">
        <f>(P259*0.05)+(P260*0.1)+(P261*0.1)+(P262*0.15)+(P263*0.25)+(P264*0.35)</f>
        <v>14406.476542530185</v>
      </c>
      <c r="Q268" s="274">
        <f>(Q259*0.05)+(Q260*0.1)+(Q261*0.1)+(Q262*0.15)+(Q263*0.25)+(Q264*0.35)</f>
        <v>26141.456494565216</v>
      </c>
      <c r="R268" s="275">
        <f>(R259*0.05)+(R260*0.1)+(R261*0.1)+(R262*0.15)+(R263*0.25)+(R264*0.35)</f>
        <v>1533.0680000000134</v>
      </c>
      <c r="S268" s="9"/>
      <c r="T268" s="9"/>
    </row>
    <row r="269" spans="1:42" ht="14.65" thickBot="1"/>
    <row r="270" spans="1:42" ht="14.65" thickBot="1">
      <c r="D270" s="283" t="s">
        <v>39</v>
      </c>
      <c r="E270" s="284"/>
      <c r="F270" s="284"/>
      <c r="G270" s="422">
        <v>27732.87</v>
      </c>
    </row>
    <row r="271" spans="1:42" ht="14.65" thickBot="1">
      <c r="G271" s="278"/>
      <c r="H271" s="18" t="s">
        <v>40</v>
      </c>
    </row>
    <row r="272" spans="1:42">
      <c r="D272" s="16" t="s">
        <v>387</v>
      </c>
      <c r="E272" s="286"/>
      <c r="F272" s="286"/>
      <c r="G272" s="287">
        <f>+AVERAGE(F259:F264)</f>
        <v>502753.73166666669</v>
      </c>
      <c r="H272" s="288"/>
      <c r="I272" s="17" t="s">
        <v>41</v>
      </c>
    </row>
    <row r="273" spans="2:19">
      <c r="D273" s="3" t="s">
        <v>18</v>
      </c>
      <c r="G273" s="279">
        <f>+AVERAGE(E259:E264)</f>
        <v>64522.71166666667</v>
      </c>
      <c r="H273" s="289"/>
      <c r="I273" t="s">
        <v>42</v>
      </c>
    </row>
    <row r="274" spans="2:19">
      <c r="D274" s="3" t="s">
        <v>43</v>
      </c>
      <c r="G274" s="279">
        <f>(E264*0.5)+(E263*0.3)+(E262*0.2)</f>
        <v>72379.040999999997</v>
      </c>
      <c r="H274" s="289"/>
    </row>
    <row r="275" spans="2:19">
      <c r="D275" s="3" t="s">
        <v>44</v>
      </c>
      <c r="G275" s="279">
        <f>AVERAGE(E259:E261)</f>
        <v>53278.106666666667</v>
      </c>
      <c r="H275" s="289"/>
    </row>
    <row r="276" spans="2:19">
      <c r="D276" s="3" t="s">
        <v>351</v>
      </c>
      <c r="G276" s="446">
        <f>(AVERAGE(H262:H264) - AVERAGE(H259:H261)) / MAX(ABS(AVERAGE(H259:H261)), 1000)</f>
        <v>0.15641938982831574</v>
      </c>
      <c r="H276" s="4">
        <f>IF(G276&gt;=1.2,100,IF(G276&gt;=1,80,IF(G276&gt;=0.8,50,IF(G276&gt;=0.5,30,IF(G276&gt;=0.2,0,-20)))))</f>
        <v>-20</v>
      </c>
      <c r="I276" s="501" t="s">
        <v>354</v>
      </c>
      <c r="J276" s="502"/>
      <c r="K276" s="502"/>
      <c r="L276" s="502"/>
      <c r="M276" s="502"/>
      <c r="N276" s="502"/>
      <c r="O276" s="502"/>
      <c r="P276" s="502"/>
    </row>
    <row r="277" spans="2:19">
      <c r="D277" s="369" t="s">
        <v>352</v>
      </c>
      <c r="E277" s="23"/>
      <c r="F277" s="23"/>
      <c r="G277" s="370">
        <f>(AVERAGE(R262:R264) - AVERAGE(R259:R261)) / MAX(ABS(AVERAGE(R259:R261)), 1000)</f>
        <v>-1.3087305507211142</v>
      </c>
      <c r="H277" s="202">
        <f>IF(G277&gt;=1.2,100,IF(G277&gt;=1,80,IF(G277&gt;=0.8,50,IF(G277&gt;=0.5,30,IF(G277&gt;=0.2,0,-20)))))</f>
        <v>-20</v>
      </c>
      <c r="I277" s="502"/>
      <c r="J277" s="502"/>
      <c r="K277" s="502"/>
      <c r="L277" s="502"/>
      <c r="M277" s="502"/>
      <c r="N277" s="502"/>
      <c r="O277" s="502"/>
      <c r="P277" s="502"/>
    </row>
    <row r="278" spans="2:19">
      <c r="D278" s="3" t="s">
        <v>45</v>
      </c>
      <c r="G278" s="265">
        <f>(SUM(F259:F264)*G298)/6</f>
        <v>1247.2228536100354</v>
      </c>
      <c r="H278" s="290"/>
      <c r="I278" t="s">
        <v>46</v>
      </c>
    </row>
    <row r="279" spans="2:19">
      <c r="D279" s="3" t="s">
        <v>47</v>
      </c>
      <c r="G279" s="265">
        <f>(R259*0.05)+(R260*0.1)+(R261*0.1)+(R262*0.15)+(R263*0.25)+(R264*0.35)</f>
        <v>1533.0680000000134</v>
      </c>
      <c r="H279" s="290"/>
      <c r="I279" t="s">
        <v>48</v>
      </c>
    </row>
    <row r="280" spans="2:19">
      <c r="D280" s="3" t="s">
        <v>49</v>
      </c>
      <c r="F280" s="280" t="str">
        <f>+IF(G280&lt;0.75,"Muy Sano",IF(G280&lt;0.85,"Sano",IF(G280&lt;0.95,"Presionado",IF(G280&gt;0.95,"Riesgoso"))))</f>
        <v>Riesgoso</v>
      </c>
      <c r="G280" s="281">
        <f>(S259*0.05)+(S260*0.1)+(S261*0.1)+(S262*0.15)+(S263*0.25)+(S264*0.35)</f>
        <v>1.0038134914738297</v>
      </c>
      <c r="H280" s="4">
        <f>+IF(G280&lt;0.75,100,IF(G280&lt;0.8,80,IF(G280&lt;0.85,50,IF(G280&lt;0.9,30,IF(G280&lt;0.95,15,IF(G280&lt;1,0,-20))))))</f>
        <v>-20</v>
      </c>
      <c r="I280" t="s">
        <v>50</v>
      </c>
      <c r="S280" t="s">
        <v>355</v>
      </c>
    </row>
    <row r="281" spans="2:19">
      <c r="D281" s="3" t="s">
        <v>21</v>
      </c>
      <c r="G281" s="282">
        <f>+SUM(K259:K264)</f>
        <v>0</v>
      </c>
      <c r="H281" s="289"/>
      <c r="I281" t="s">
        <v>51</v>
      </c>
    </row>
    <row r="282" spans="2:19">
      <c r="D282" s="3" t="s">
        <v>52</v>
      </c>
      <c r="G282" s="15">
        <f>AVERAGE(E259:E264)/AVERAGE(F259:F264)</f>
        <v>0.12833860318205695</v>
      </c>
      <c r="H282" s="4">
        <f>+IF(G282&gt;15%,100,IF(G282&gt;10%,80,IF(G282&gt;5%,60,IF(G282&gt;3%,50,IF(G282&gt;1.5%,20,IF(G282&lt;1.5%,10,IF(G282=0,0,-10)))))))</f>
        <v>80</v>
      </c>
      <c r="I282" t="s">
        <v>53</v>
      </c>
    </row>
    <row r="283" spans="2:19" ht="14.65" thickBot="1">
      <c r="D283" s="6" t="s">
        <v>54</v>
      </c>
      <c r="E283" s="291"/>
      <c r="F283" s="291"/>
      <c r="G283" s="292">
        <f>1 - (STDEV(F259:F264)/AVERAGE(F259:F264))</f>
        <v>0.46123833926592028</v>
      </c>
      <c r="H283" s="293">
        <f>MAX(0,MIN(100,G283*100))</f>
        <v>46.123833926592027</v>
      </c>
      <c r="I283" t="s">
        <v>55</v>
      </c>
    </row>
    <row r="284" spans="2:19" ht="14.65" thickBot="1">
      <c r="H284" s="18" t="s">
        <v>40</v>
      </c>
    </row>
    <row r="285" spans="2:19">
      <c r="B285" s="503"/>
      <c r="C285" s="504"/>
      <c r="D285" s="324"/>
      <c r="E285" s="324"/>
      <c r="F285" s="286"/>
      <c r="G285" s="325"/>
      <c r="H285" s="325"/>
    </row>
    <row r="286" spans="2:19">
      <c r="B286" s="489"/>
      <c r="C286" s="490"/>
      <c r="F286" s="8"/>
      <c r="G286" s="294"/>
      <c r="H286" s="294"/>
    </row>
    <row r="287" spans="2:19">
      <c r="B287" s="493" t="s">
        <v>56</v>
      </c>
      <c r="C287" s="494"/>
      <c r="D287" t="s">
        <v>57</v>
      </c>
      <c r="F287" s="8"/>
      <c r="G287" s="294">
        <f>(SUM(E259:E264)-MAX(E259:E264)-MIN(E259:E264))/(COUNT(E259:E264)-2)</f>
        <v>68100.772499999992</v>
      </c>
      <c r="H287" s="295"/>
      <c r="I287" t="s">
        <v>58</v>
      </c>
    </row>
    <row r="288" spans="2:19">
      <c r="B288" s="493" t="s">
        <v>56</v>
      </c>
      <c r="C288" s="494"/>
      <c r="D288" t="s">
        <v>59</v>
      </c>
      <c r="F288" s="8"/>
      <c r="G288" s="294">
        <f>+G287/G270</f>
        <v>2.4555977257312351</v>
      </c>
      <c r="H288" s="295">
        <f>IF(G288&lt;0.5,0,IF(G288&lt;1,20,IF(G288&lt;2,50,IF(G288&lt;3,70,IF(G288&lt;5,90,100)))))</f>
        <v>70</v>
      </c>
      <c r="I288" t="s">
        <v>60</v>
      </c>
    </row>
    <row r="289" spans="2:21">
      <c r="B289" s="487" t="s">
        <v>61</v>
      </c>
      <c r="C289" s="488"/>
      <c r="D289" t="s">
        <v>30</v>
      </c>
      <c r="G289" s="294">
        <f>_xlfn.STDEV.S(F259:F264)/AVERAGE(F259:F264)</f>
        <v>0.53876166073407972</v>
      </c>
      <c r="H289" s="294">
        <f>MAX(0,100-(G289*40))</f>
        <v>78.449533570636817</v>
      </c>
      <c r="I289" s="17" t="s">
        <v>62</v>
      </c>
    </row>
    <row r="290" spans="2:21">
      <c r="B290" s="505" t="s">
        <v>63</v>
      </c>
      <c r="C290" s="506"/>
      <c r="D290" t="s">
        <v>64</v>
      </c>
      <c r="G290" s="316">
        <f>((E264+E263+E262)/3)/((E259+E260+E261)/3)</f>
        <v>1.4221097821794468</v>
      </c>
      <c r="H290" s="374" t="str">
        <f>IF(G290&gt;=1.2,"liquidez mejora fuerte",IF(G290&gt;=1,"liquidez estable",IF(G290&gt;=0.8,"liquidez deteriora leve","liquidez deteriora fuerte")))</f>
        <v>liquidez mejora fuerte</v>
      </c>
      <c r="I290" t="s">
        <v>65</v>
      </c>
    </row>
    <row r="291" spans="2:21">
      <c r="B291" s="489"/>
      <c r="C291" s="490"/>
      <c r="G291" s="294"/>
      <c r="H291" s="294"/>
    </row>
    <row r="292" spans="2:21">
      <c r="B292" s="487" t="s">
        <v>61</v>
      </c>
      <c r="C292" s="488"/>
      <c r="D292" t="s">
        <v>66</v>
      </c>
      <c r="G292" s="294">
        <f>MIN(3,STDEV(R259:R264)/MAX(ABS(AVERAGE(R259:R264)),1000))</f>
        <v>3</v>
      </c>
      <c r="H292" s="294">
        <f>MAX(0,100-(G292*30))</f>
        <v>10</v>
      </c>
      <c r="I292" t="s">
        <v>67</v>
      </c>
      <c r="R292" t="s">
        <v>68</v>
      </c>
    </row>
    <row r="293" spans="2:21">
      <c r="B293" s="489"/>
      <c r="C293" s="490"/>
      <c r="G293" s="294"/>
      <c r="H293" s="294"/>
    </row>
    <row r="294" spans="2:21">
      <c r="B294" s="491" t="s">
        <v>69</v>
      </c>
      <c r="C294" s="492"/>
      <c r="D294" t="s">
        <v>70</v>
      </c>
      <c r="F294" s="7"/>
      <c r="G294" s="294">
        <f>G278-(STDEV(R259:R264)*0.25)</f>
        <v>-5246.8978471941546</v>
      </c>
      <c r="H294" s="294"/>
      <c r="I294" t="s">
        <v>71</v>
      </c>
    </row>
    <row r="295" spans="2:21">
      <c r="B295" s="491" t="s">
        <v>69</v>
      </c>
      <c r="C295" s="492"/>
      <c r="D295" t="s">
        <v>72</v>
      </c>
      <c r="F295" s="7"/>
      <c r="G295" s="294">
        <f>+G294/G270</f>
        <v>-0.18919418896039808</v>
      </c>
      <c r="H295" s="296"/>
      <c r="I295" t="s">
        <v>73</v>
      </c>
      <c r="U295" t="s">
        <v>353</v>
      </c>
    </row>
    <row r="296" spans="2:21">
      <c r="B296" s="491" t="s">
        <v>69</v>
      </c>
      <c r="C296" s="492"/>
      <c r="D296" t="s">
        <v>74</v>
      </c>
      <c r="G296" s="297">
        <f>+G295/P301</f>
        <v>-7.5677675584159235E-2</v>
      </c>
      <c r="H296" s="294">
        <f>IF((G295/P301)&gt;=1.5,100,IF((G295/P301)&gt;=1.2,80,IF((G295/P301)&gt;=1,60,IF((G295/P301)&gt;=0.8,40,0))))</f>
        <v>0</v>
      </c>
    </row>
    <row r="297" spans="2:21">
      <c r="B297" s="493" t="s">
        <v>56</v>
      </c>
      <c r="C297" s="494"/>
      <c r="D297" t="s">
        <v>75</v>
      </c>
      <c r="F297" s="7"/>
      <c r="G297" s="294">
        <f>SUM(F259:F264)/SUM(G259:G264)</f>
        <v>1.0133766505495345</v>
      </c>
      <c r="H297" s="294">
        <f>IF(G297&gt;=1.1,100,IF(G297&gt;=1.05,80,IF(G297&gt;=1,70,IF(G297&gt;=0.95,50,IF(G297&gt;=0.85,35,10)))))</f>
        <v>70</v>
      </c>
      <c r="I297" t="s">
        <v>76</v>
      </c>
      <c r="Q297" s="23" t="s">
        <v>359</v>
      </c>
    </row>
    <row r="298" spans="2:21" ht="14.65" thickBot="1">
      <c r="B298" s="495" t="s">
        <v>69</v>
      </c>
      <c r="C298" s="496"/>
      <c r="D298" s="291" t="s">
        <v>15</v>
      </c>
      <c r="E298" s="291"/>
      <c r="F298" s="298"/>
      <c r="G298" s="299">
        <f>+(F268-G268)/F268</f>
        <v>2.4807828864350685E-3</v>
      </c>
      <c r="H298" s="300">
        <f>IF(G298&gt;=0.2,100,
IF(G298&gt;=0.1,80,
IF(G298&gt;=0.05,60,
IF(G298&gt;=0,40,
IF(G298&gt;=-0.05,20,0)))))</f>
        <v>40</v>
      </c>
      <c r="I298" t="s">
        <v>77</v>
      </c>
    </row>
    <row r="299" spans="2:21" ht="14.65" thickBot="1"/>
    <row r="300" spans="2:21">
      <c r="B300" s="497" t="s">
        <v>78</v>
      </c>
      <c r="C300" s="498"/>
      <c r="D300" s="189" t="s">
        <v>79</v>
      </c>
      <c r="E300" s="189" t="s">
        <v>40</v>
      </c>
      <c r="F300" s="183"/>
      <c r="I300" s="253" t="s">
        <v>80</v>
      </c>
      <c r="J300" s="375">
        <v>3</v>
      </c>
      <c r="K300" s="256" t="s">
        <v>81</v>
      </c>
      <c r="L300" s="256"/>
      <c r="M300" s="256"/>
      <c r="N300" s="256"/>
      <c r="O300" s="256"/>
      <c r="P300" s="254" t="s">
        <v>82</v>
      </c>
      <c r="Q300" s="254" t="s">
        <v>83</v>
      </c>
    </row>
    <row r="301" spans="2:21">
      <c r="B301" s="184"/>
      <c r="C301" s="182" t="s">
        <v>84</v>
      </c>
      <c r="D301" s="185">
        <v>0.6</v>
      </c>
      <c r="E301" s="15">
        <f>+H296</f>
        <v>0</v>
      </c>
      <c r="F301" s="181"/>
      <c r="I301" s="24" t="s">
        <v>85</v>
      </c>
      <c r="J301" s="4">
        <v>2.75</v>
      </c>
      <c r="K301" s="421">
        <v>48</v>
      </c>
      <c r="L301" s="256"/>
      <c r="M301" s="256"/>
      <c r="N301" s="256"/>
      <c r="O301" s="256"/>
      <c r="P301" s="254">
        <f>+IF(K301&lt;=24,J300,IF(K301&lt;=36,J301,IF(K301&lt;=48,J302,IF(K301&lt;=60,J303,"2"))))</f>
        <v>2.5</v>
      </c>
      <c r="Q301" s="255">
        <f>+IF(K301&lt;24,30.2%,IF(K301&lt;36,26%,IF(K301&lt;48,24.55%,IF(K301&lt;60,23.82%,"0%"))))</f>
        <v>0.2382</v>
      </c>
    </row>
    <row r="302" spans="2:21">
      <c r="B302" s="184"/>
      <c r="C302" s="182" t="s">
        <v>86</v>
      </c>
      <c r="D302" s="185">
        <v>0.25</v>
      </c>
      <c r="E302" s="15">
        <f>+H280</f>
        <v>-20</v>
      </c>
      <c r="F302" s="181"/>
      <c r="I302" s="24" t="s">
        <v>87</v>
      </c>
      <c r="J302" s="4">
        <v>2.5</v>
      </c>
    </row>
    <row r="303" spans="2:21" ht="14.65" thickBot="1">
      <c r="B303" s="184"/>
      <c r="C303" s="182" t="s">
        <v>15</v>
      </c>
      <c r="D303" s="185">
        <v>0.15</v>
      </c>
      <c r="E303" s="15">
        <f>+H298</f>
        <v>40</v>
      </c>
      <c r="F303" s="181"/>
      <c r="I303" s="50" t="s">
        <v>88</v>
      </c>
      <c r="J303" s="317">
        <v>2.25</v>
      </c>
    </row>
    <row r="304" spans="2:21" ht="14.65" thickBot="1">
      <c r="B304" s="186"/>
      <c r="C304" s="187"/>
      <c r="D304" s="187"/>
      <c r="E304" s="188" t="s">
        <v>89</v>
      </c>
      <c r="F304" s="195">
        <f>E301*D301 + E302*D302 + E303*D303</f>
        <v>1</v>
      </c>
    </row>
    <row r="305" spans="2:16" ht="14.65" thickBot="1">
      <c r="B305" s="499" t="s">
        <v>90</v>
      </c>
      <c r="C305" s="500"/>
      <c r="D305" s="189" t="s">
        <v>79</v>
      </c>
      <c r="E305" s="189" t="s">
        <v>40</v>
      </c>
      <c r="F305" s="183"/>
      <c r="H305" s="9"/>
      <c r="I305" s="313" t="s">
        <v>91</v>
      </c>
      <c r="J305" s="314"/>
      <c r="K305" s="315" t="s">
        <v>92</v>
      </c>
      <c r="L305" s="410"/>
      <c r="M305" s="410"/>
      <c r="N305" s="410"/>
      <c r="O305" s="410"/>
      <c r="P305" s="314"/>
    </row>
    <row r="306" spans="2:16">
      <c r="B306" s="184"/>
      <c r="C306" s="182" t="s">
        <v>93</v>
      </c>
      <c r="D306" s="190">
        <v>0.5</v>
      </c>
      <c r="E306" s="15">
        <f>+H288</f>
        <v>70</v>
      </c>
      <c r="F306" s="181"/>
      <c r="H306" s="182" t="s">
        <v>94</v>
      </c>
      <c r="I306" s="476">
        <f>+G273/P301</f>
        <v>25809.084666666669</v>
      </c>
      <c r="J306" s="477"/>
      <c r="K306" s="478">
        <f>ABS(PV(Q301/12,K301,I306))</f>
        <v>794066.91942264314</v>
      </c>
      <c r="L306" s="479"/>
      <c r="M306" s="479"/>
      <c r="N306" s="479"/>
      <c r="O306" s="479"/>
      <c r="P306" s="480"/>
    </row>
    <row r="307" spans="2:16">
      <c r="B307" s="184"/>
      <c r="C307" s="182" t="s">
        <v>95</v>
      </c>
      <c r="D307" s="190">
        <v>0.3</v>
      </c>
      <c r="E307" s="15">
        <f>+H297</f>
        <v>70</v>
      </c>
      <c r="F307" s="181"/>
      <c r="H307" s="182" t="s">
        <v>96</v>
      </c>
      <c r="I307" s="476">
        <f>+G272/P301</f>
        <v>201101.49266666669</v>
      </c>
      <c r="J307" s="477"/>
      <c r="K307" s="478">
        <f>ABS(PV(Q301/12,K301,I307))</f>
        <v>6187280.3640866019</v>
      </c>
      <c r="L307" s="479"/>
      <c r="M307" s="479"/>
      <c r="N307" s="479"/>
      <c r="O307" s="479"/>
      <c r="P307" s="480"/>
    </row>
    <row r="308" spans="2:16" ht="14.65" thickBot="1">
      <c r="B308" s="184"/>
      <c r="C308" s="8" t="s">
        <v>97</v>
      </c>
      <c r="D308" s="185">
        <v>0.2</v>
      </c>
      <c r="E308" s="15">
        <f>+H282</f>
        <v>80</v>
      </c>
      <c r="F308" s="181"/>
      <c r="H308" s="257" t="s">
        <v>98</v>
      </c>
      <c r="I308" s="481">
        <f>+G274/P301</f>
        <v>28951.616399999999</v>
      </c>
      <c r="J308" s="482"/>
      <c r="K308" s="483">
        <f>ABS(PV(Q301/12,K301,I308))</f>
        <v>890753.04854750773</v>
      </c>
      <c r="L308" s="484"/>
      <c r="M308" s="484"/>
      <c r="N308" s="484"/>
      <c r="O308" s="484"/>
      <c r="P308" s="485"/>
    </row>
    <row r="309" spans="2:16" ht="14.65" thickBot="1">
      <c r="B309" s="191"/>
      <c r="C309" s="182"/>
      <c r="D309" s="187"/>
      <c r="E309" s="188" t="s">
        <v>89</v>
      </c>
      <c r="F309" s="195">
        <f xml:space="preserve"> E306*D306 + E307*D307+E308*D308</f>
        <v>72</v>
      </c>
    </row>
    <row r="310" spans="2:16">
      <c r="B310" s="196" t="s">
        <v>99</v>
      </c>
      <c r="C310" s="197"/>
      <c r="D310" s="189" t="s">
        <v>79</v>
      </c>
      <c r="E310" s="189" t="s">
        <v>40</v>
      </c>
      <c r="F310" s="183"/>
      <c r="I310" s="486" t="s">
        <v>100</v>
      </c>
      <c r="J310" s="486"/>
      <c r="P310" s="8"/>
    </row>
    <row r="311" spans="2:16">
      <c r="B311" s="184"/>
      <c r="C311" s="182" t="s">
        <v>101</v>
      </c>
      <c r="D311" s="7">
        <v>0.6</v>
      </c>
      <c r="E311" s="15">
        <f>+H292</f>
        <v>10</v>
      </c>
      <c r="F311" s="181"/>
      <c r="I311" t="s">
        <v>102</v>
      </c>
      <c r="J311" t="s">
        <v>103</v>
      </c>
    </row>
    <row r="312" spans="2:16" ht="14.65" thickBot="1">
      <c r="B312" s="184"/>
      <c r="C312" s="182" t="s">
        <v>104</v>
      </c>
      <c r="D312" s="7">
        <v>0.4</v>
      </c>
      <c r="E312" s="201">
        <f>+H283</f>
        <v>46.123833926592027</v>
      </c>
      <c r="F312" s="181"/>
      <c r="I312" s="8" t="s">
        <v>105</v>
      </c>
      <c r="J312" t="s">
        <v>106</v>
      </c>
    </row>
    <row r="313" spans="2:16" ht="14.65" thickBot="1">
      <c r="B313" s="192"/>
      <c r="E313" s="193" t="s">
        <v>89</v>
      </c>
      <c r="F313" s="195">
        <f xml:space="preserve"> E311*D311 + E312*D312</f>
        <v>24.449533570636813</v>
      </c>
      <c r="I313" s="8" t="s">
        <v>107</v>
      </c>
      <c r="J313" t="s">
        <v>108</v>
      </c>
    </row>
    <row r="314" spans="2:16">
      <c r="B314" s="198" t="s">
        <v>109</v>
      </c>
      <c r="C314" s="199"/>
      <c r="D314" s="189" t="s">
        <v>79</v>
      </c>
      <c r="E314" s="189" t="s">
        <v>40</v>
      </c>
      <c r="F314" s="183"/>
      <c r="I314" s="8" t="s">
        <v>110</v>
      </c>
      <c r="J314" t="s">
        <v>111</v>
      </c>
    </row>
    <row r="315" spans="2:16" ht="14.65" thickBot="1">
      <c r="B315" s="194"/>
      <c r="C315" s="182" t="s">
        <v>112</v>
      </c>
      <c r="D315" s="7">
        <v>1</v>
      </c>
      <c r="E315" s="2">
        <f>+H276</f>
        <v>-20</v>
      </c>
      <c r="F315" s="181"/>
      <c r="I315" s="8" t="s">
        <v>113</v>
      </c>
      <c r="J315" t="s">
        <v>114</v>
      </c>
    </row>
    <row r="316" spans="2:16" ht="14.65" thickBot="1">
      <c r="B316" s="186"/>
      <c r="C316" s="187"/>
      <c r="D316" s="187"/>
      <c r="E316" s="188" t="s">
        <v>89</v>
      </c>
      <c r="F316" s="195">
        <f>+ E315*D315</f>
        <v>-20</v>
      </c>
      <c r="I316" s="8" t="s">
        <v>115</v>
      </c>
      <c r="J316" t="s">
        <v>106</v>
      </c>
    </row>
    <row r="317" spans="2:16" ht="14.65" thickBot="1">
      <c r="I317" s="8" t="s">
        <v>350</v>
      </c>
      <c r="J317" t="s">
        <v>108</v>
      </c>
    </row>
    <row r="318" spans="2:16">
      <c r="E318" s="423" t="s">
        <v>116</v>
      </c>
      <c r="F318" s="424">
        <f>(F304*0.4)+
(F309*0.3)+
(F313*0.2)+
(F316*0.1)</f>
        <v>24.88990671412736</v>
      </c>
    </row>
    <row r="319" spans="2:16">
      <c r="E319" s="425" t="s">
        <v>117</v>
      </c>
      <c r="F319" s="426">
        <f>MIN(1000,MAX(0,F318*10))</f>
        <v>248.8990671412736</v>
      </c>
    </row>
    <row r="320" spans="2:16" ht="14.65" thickBot="1"/>
    <row r="321" spans="1:42" ht="27" thickBot="1">
      <c r="A321" s="391" t="s">
        <v>378</v>
      </c>
      <c r="B321" s="386"/>
      <c r="C321" s="386"/>
      <c r="D321" s="387"/>
      <c r="E321" s="388"/>
      <c r="F321" s="388"/>
      <c r="G321" s="388"/>
      <c r="H321" s="389"/>
      <c r="I321" s="386"/>
      <c r="J321" s="386"/>
      <c r="K321" s="386"/>
      <c r="L321" s="386"/>
      <c r="M321" s="386"/>
      <c r="N321" s="386"/>
      <c r="O321" s="386"/>
      <c r="P321" s="386"/>
      <c r="Q321" s="386"/>
      <c r="R321" s="386"/>
      <c r="S321" s="386"/>
      <c r="T321" s="386"/>
      <c r="U321" s="386"/>
      <c r="V321" s="386"/>
      <c r="W321" s="386"/>
      <c r="X321" s="386"/>
      <c r="Y321" s="386"/>
      <c r="Z321" s="386"/>
      <c r="AA321" s="386"/>
      <c r="AB321" s="386"/>
      <c r="AC321" s="386"/>
      <c r="AD321" s="386"/>
      <c r="AE321" s="386"/>
      <c r="AF321" s="386"/>
      <c r="AG321" s="386"/>
      <c r="AH321" s="386"/>
      <c r="AI321" s="386"/>
      <c r="AJ321" s="386"/>
      <c r="AK321" s="386"/>
      <c r="AL321" s="386"/>
      <c r="AM321" s="386"/>
      <c r="AN321" s="386"/>
      <c r="AO321" s="386"/>
      <c r="AP321" s="390"/>
    </row>
    <row r="322" spans="1:42" ht="42.75" customHeight="1" thickBot="1">
      <c r="B322" s="405" t="s">
        <v>1</v>
      </c>
      <c r="C322" s="406" t="s">
        <v>2</v>
      </c>
      <c r="D322" s="406" t="s">
        <v>3</v>
      </c>
      <c r="E322" s="406" t="s">
        <v>4</v>
      </c>
      <c r="F322" s="406" t="s">
        <v>5</v>
      </c>
      <c r="G322" s="406" t="s">
        <v>6</v>
      </c>
      <c r="H322" s="406" t="s">
        <v>7</v>
      </c>
      <c r="I322" s="407" t="s">
        <v>388</v>
      </c>
      <c r="J322" s="407" t="s">
        <v>385</v>
      </c>
      <c r="K322" s="406" t="s">
        <v>386</v>
      </c>
      <c r="L322" s="406" t="s">
        <v>391</v>
      </c>
      <c r="M322" s="406" t="s">
        <v>392</v>
      </c>
      <c r="N322" s="406" t="s">
        <v>389</v>
      </c>
      <c r="O322" s="406" t="s">
        <v>390</v>
      </c>
      <c r="P322" s="406" t="s">
        <v>11</v>
      </c>
      <c r="Q322" s="406" t="s">
        <v>12</v>
      </c>
      <c r="R322" s="406" t="s">
        <v>13</v>
      </c>
      <c r="S322" s="406" t="s">
        <v>14</v>
      </c>
      <c r="T322" s="406" t="s">
        <v>15</v>
      </c>
      <c r="U322" s="406" t="s">
        <v>16</v>
      </c>
      <c r="V322" s="408" t="s">
        <v>17</v>
      </c>
      <c r="X322" s="394" t="s">
        <v>18</v>
      </c>
      <c r="Y322" s="395" t="s">
        <v>19</v>
      </c>
      <c r="Z322" s="394" t="s">
        <v>20</v>
      </c>
    </row>
    <row r="323" spans="1:42" ht="27.75" thickBot="1">
      <c r="B323" s="248">
        <v>1</v>
      </c>
      <c r="C323" s="396" t="s">
        <v>379</v>
      </c>
      <c r="D323" s="397">
        <v>1546267.71</v>
      </c>
      <c r="E323" s="397">
        <v>513003.51</v>
      </c>
      <c r="F323" s="398">
        <v>2531.12</v>
      </c>
      <c r="G323" s="397">
        <v>1035795.32</v>
      </c>
      <c r="H323" s="397">
        <v>977938.31</v>
      </c>
      <c r="I323" s="399">
        <v>1</v>
      </c>
      <c r="J323" s="399">
        <v>48</v>
      </c>
      <c r="K323" s="400">
        <v>0</v>
      </c>
      <c r="L323" s="400"/>
      <c r="M323" s="400"/>
      <c r="N323" s="400"/>
      <c r="O323" s="400"/>
      <c r="P323" s="401">
        <f t="shared" ref="P323:P328" si="28">+F323/I323</f>
        <v>2531.12</v>
      </c>
      <c r="Q323" s="401">
        <f t="shared" ref="Q323:Q328" si="29">+G323/J323</f>
        <v>21579.069166666664</v>
      </c>
      <c r="R323" s="397">
        <f t="shared" ref="R323:R328" si="30">+F323-G323</f>
        <v>-1033264.2</v>
      </c>
      <c r="S323" s="402">
        <f t="shared" ref="S323:S328" si="31">+G323/F323</f>
        <v>409.22410632447298</v>
      </c>
      <c r="T323" s="403">
        <f t="shared" ref="T323:T328" si="32">(+F323-G323)/F323</f>
        <v>-408.22410632447298</v>
      </c>
      <c r="U323" s="400">
        <v>0</v>
      </c>
      <c r="V323" s="404">
        <v>26</v>
      </c>
      <c r="X323" s="12" t="s">
        <v>21</v>
      </c>
      <c r="Y323" s="13" t="s">
        <v>22</v>
      </c>
      <c r="Z323" s="12" t="s">
        <v>23</v>
      </c>
    </row>
    <row r="324" spans="1:42" ht="28.15" thickBot="1">
      <c r="B324" s="249">
        <v>2</v>
      </c>
      <c r="C324" s="301" t="s">
        <v>380</v>
      </c>
      <c r="D324" s="302">
        <v>513003.51</v>
      </c>
      <c r="E324" s="302">
        <v>403831.05</v>
      </c>
      <c r="F324" s="302">
        <v>379345.72</v>
      </c>
      <c r="G324" s="302">
        <v>488518.18</v>
      </c>
      <c r="H324" s="302">
        <v>508407.18</v>
      </c>
      <c r="I324" s="304">
        <v>9</v>
      </c>
      <c r="J324" s="304">
        <v>36</v>
      </c>
      <c r="K324" s="305">
        <v>0</v>
      </c>
      <c r="L324" s="305"/>
      <c r="M324" s="305"/>
      <c r="N324" s="305"/>
      <c r="O324" s="305"/>
      <c r="P324" s="306">
        <f t="shared" si="28"/>
        <v>42149.52444444444</v>
      </c>
      <c r="Q324" s="306">
        <f t="shared" si="29"/>
        <v>13569.949444444444</v>
      </c>
      <c r="R324" s="302">
        <f t="shared" si="30"/>
        <v>-109172.46000000002</v>
      </c>
      <c r="S324" s="307">
        <f t="shared" si="31"/>
        <v>1.2877914636812036</v>
      </c>
      <c r="T324" s="308">
        <f t="shared" si="32"/>
        <v>-0.28779146368120362</v>
      </c>
      <c r="U324" s="305">
        <v>0</v>
      </c>
      <c r="V324" s="310">
        <v>401.19</v>
      </c>
      <c r="X324" s="12" t="s">
        <v>24</v>
      </c>
      <c r="Y324" s="13" t="s">
        <v>25</v>
      </c>
      <c r="Z324" s="12" t="s">
        <v>26</v>
      </c>
    </row>
    <row r="325" spans="1:42" ht="27.75" thickBot="1">
      <c r="B325" s="249">
        <v>3</v>
      </c>
      <c r="C325" s="301" t="s">
        <v>381</v>
      </c>
      <c r="D325" s="302">
        <v>403831.05</v>
      </c>
      <c r="E325" s="302">
        <v>410612.21</v>
      </c>
      <c r="F325" s="303">
        <v>2240210.09</v>
      </c>
      <c r="G325" s="302">
        <v>2233428.9300000002</v>
      </c>
      <c r="H325" s="302">
        <v>720108.78</v>
      </c>
      <c r="I325" s="304">
        <v>8</v>
      </c>
      <c r="J325" s="304">
        <v>51</v>
      </c>
      <c r="K325" s="305">
        <v>0</v>
      </c>
      <c r="L325" s="305"/>
      <c r="M325" s="305"/>
      <c r="N325" s="305"/>
      <c r="O325" s="305"/>
      <c r="P325" s="306">
        <f t="shared" si="28"/>
        <v>280026.26124999998</v>
      </c>
      <c r="Q325" s="306">
        <f t="shared" si="29"/>
        <v>43792.724117647063</v>
      </c>
      <c r="R325" s="302">
        <f t="shared" si="30"/>
        <v>6781.1599999996834</v>
      </c>
      <c r="S325" s="307">
        <f t="shared" si="31"/>
        <v>0.99697298033328663</v>
      </c>
      <c r="T325" s="308">
        <f t="shared" si="32"/>
        <v>3.02701966671335E-3</v>
      </c>
      <c r="U325" s="305">
        <v>0</v>
      </c>
      <c r="V325" s="309"/>
      <c r="X325" s="12" t="s">
        <v>27</v>
      </c>
      <c r="Y325" s="13" t="s">
        <v>28</v>
      </c>
      <c r="Z325" s="14" t="s">
        <v>29</v>
      </c>
    </row>
    <row r="326" spans="1:42" ht="27.75" thickBot="1">
      <c r="B326" s="249">
        <v>4</v>
      </c>
      <c r="C326" s="301" t="s">
        <v>382</v>
      </c>
      <c r="D326" s="302">
        <v>410612.21</v>
      </c>
      <c r="E326" s="302">
        <v>672994.94</v>
      </c>
      <c r="F326" s="302">
        <v>925878.33</v>
      </c>
      <c r="G326" s="302">
        <v>663495.6</v>
      </c>
      <c r="H326" s="302">
        <v>250520.95999999999</v>
      </c>
      <c r="I326" s="304">
        <v>7</v>
      </c>
      <c r="J326" s="304">
        <v>30</v>
      </c>
      <c r="K326" s="305">
        <v>0</v>
      </c>
      <c r="L326" s="305"/>
      <c r="M326" s="305"/>
      <c r="N326" s="305"/>
      <c r="O326" s="305"/>
      <c r="P326" s="306">
        <f t="shared" si="28"/>
        <v>132268.33285714284</v>
      </c>
      <c r="Q326" s="306">
        <f t="shared" si="29"/>
        <v>22116.52</v>
      </c>
      <c r="R326" s="302">
        <f t="shared" si="30"/>
        <v>262382.73</v>
      </c>
      <c r="S326" s="307">
        <f t="shared" si="31"/>
        <v>0.71661208444094382</v>
      </c>
      <c r="T326" s="308">
        <f t="shared" si="32"/>
        <v>0.28338791555905624</v>
      </c>
      <c r="U326" s="305">
        <v>0</v>
      </c>
      <c r="V326" s="310">
        <v>390</v>
      </c>
      <c r="X326" s="12" t="s">
        <v>30</v>
      </c>
      <c r="Y326" s="13" t="s">
        <v>31</v>
      </c>
      <c r="Z326" s="12" t="s">
        <v>32</v>
      </c>
    </row>
    <row r="327" spans="1:42" ht="14.65" thickBot="1">
      <c r="B327" s="249">
        <v>5</v>
      </c>
      <c r="C327" s="301" t="s">
        <v>383</v>
      </c>
      <c r="D327" s="302">
        <v>672994.94</v>
      </c>
      <c r="E327" s="302">
        <v>969202.52</v>
      </c>
      <c r="F327" s="302">
        <v>953787.23</v>
      </c>
      <c r="G327" s="302">
        <v>657579.65</v>
      </c>
      <c r="H327" s="302">
        <v>768187.08</v>
      </c>
      <c r="I327" s="304">
        <v>9</v>
      </c>
      <c r="J327" s="304">
        <v>36</v>
      </c>
      <c r="K327" s="305"/>
      <c r="L327" s="305"/>
      <c r="M327" s="305"/>
      <c r="N327" s="305"/>
      <c r="O327" s="305"/>
      <c r="P327" s="306">
        <f t="shared" si="28"/>
        <v>105976.35888888889</v>
      </c>
      <c r="Q327" s="306">
        <f t="shared" si="29"/>
        <v>18266.101388888888</v>
      </c>
      <c r="R327" s="302">
        <f t="shared" si="30"/>
        <v>296207.57999999996</v>
      </c>
      <c r="S327" s="307">
        <f t="shared" si="31"/>
        <v>0.68944061035499504</v>
      </c>
      <c r="T327" s="308">
        <f t="shared" si="32"/>
        <v>0.31055938964500496</v>
      </c>
      <c r="U327" s="305"/>
      <c r="V327" s="303">
        <v>1067.03</v>
      </c>
      <c r="X327" s="12"/>
      <c r="Y327" s="13"/>
      <c r="Z327" s="12"/>
    </row>
    <row r="328" spans="1:42" ht="27.75" thickBot="1">
      <c r="B328" s="250">
        <v>6</v>
      </c>
      <c r="C328" s="301" t="s">
        <v>384</v>
      </c>
      <c r="D328" s="302">
        <v>969202.52</v>
      </c>
      <c r="E328" s="302">
        <v>816558.68</v>
      </c>
      <c r="F328" s="302">
        <v>206154.08</v>
      </c>
      <c r="G328" s="302">
        <v>358797.92</v>
      </c>
      <c r="H328" s="302">
        <v>858155.65</v>
      </c>
      <c r="I328" s="304">
        <v>6</v>
      </c>
      <c r="J328" s="304">
        <v>29</v>
      </c>
      <c r="K328" s="305">
        <v>0</v>
      </c>
      <c r="L328" s="305"/>
      <c r="M328" s="305"/>
      <c r="N328" s="305"/>
      <c r="O328" s="305"/>
      <c r="P328" s="306">
        <f t="shared" si="28"/>
        <v>34359.013333333329</v>
      </c>
      <c r="Q328" s="306">
        <f t="shared" si="29"/>
        <v>12372.342068965516</v>
      </c>
      <c r="R328" s="302">
        <f t="shared" si="30"/>
        <v>-152643.84</v>
      </c>
      <c r="S328" s="307">
        <f t="shared" si="31"/>
        <v>1.7404356974162238</v>
      </c>
      <c r="T328" s="308">
        <f t="shared" si="32"/>
        <v>-0.74043569741622384</v>
      </c>
      <c r="U328" s="305">
        <v>0</v>
      </c>
      <c r="V328" s="309">
        <v>390</v>
      </c>
      <c r="X328" s="12" t="s">
        <v>33</v>
      </c>
      <c r="Y328" s="13" t="s">
        <v>34</v>
      </c>
      <c r="Z328" s="12" t="s">
        <v>35</v>
      </c>
    </row>
    <row r="329" spans="1:42">
      <c r="C329" s="270" t="s">
        <v>36</v>
      </c>
      <c r="D329" s="262"/>
      <c r="E329" s="262"/>
      <c r="F329" s="271">
        <f>SUM(F323:F328)</f>
        <v>4707906.57</v>
      </c>
      <c r="G329" s="271">
        <f>SUM(G323:G328)</f>
        <v>5437615.6000000006</v>
      </c>
      <c r="I329" s="2"/>
      <c r="J329" s="2"/>
      <c r="Q329" s="264"/>
      <c r="R329" s="262"/>
      <c r="S329" s="266"/>
      <c r="T329" s="267"/>
    </row>
    <row r="330" spans="1:42" ht="14.65" thickBot="1">
      <c r="D330" s="262"/>
      <c r="E330" s="262"/>
      <c r="I330" s="2"/>
      <c r="J330" s="2"/>
      <c r="P330" s="263"/>
      <c r="Q330" s="264"/>
      <c r="R330" s="262"/>
      <c r="S330" s="266"/>
      <c r="T330" s="267"/>
      <c r="X330" s="268"/>
      <c r="Y330" s="269"/>
      <c r="Z330" s="268"/>
    </row>
    <row r="331" spans="1:42" ht="14.65" thickBot="1">
      <c r="C331" s="16" t="s">
        <v>37</v>
      </c>
      <c r="D331" s="272"/>
      <c r="E331" s="272">
        <f>+G337</f>
        <v>631033.81833333336</v>
      </c>
      <c r="F331" s="272">
        <f>+G336</f>
        <v>784651.09500000009</v>
      </c>
      <c r="G331" s="273">
        <f>+AVERAGE(G323:G328)</f>
        <v>906269.26666666672</v>
      </c>
      <c r="I331" s="276">
        <f>+AVERAGE(I323:I328)</f>
        <v>6.666666666666667</v>
      </c>
      <c r="J331" s="277">
        <f>+AVERAGE(J323:J328)</f>
        <v>38.333333333333336</v>
      </c>
      <c r="P331" s="311">
        <f>+AVERAGE(P323:P328)</f>
        <v>99551.768462301581</v>
      </c>
      <c r="Q331" s="272">
        <f>+AVERAGE(Q323:Q328)</f>
        <v>21949.451031102097</v>
      </c>
      <c r="R331" s="273">
        <f>+AVERAGE(R323:R328)</f>
        <v>-121618.17166666671</v>
      </c>
      <c r="S331" s="9"/>
      <c r="T331" s="9"/>
      <c r="X331" s="268"/>
      <c r="Y331" s="269"/>
      <c r="Z331" s="268"/>
    </row>
    <row r="332" spans="1:42" ht="14.65" thickBot="1">
      <c r="C332" s="6" t="s">
        <v>38</v>
      </c>
      <c r="D332" s="274"/>
      <c r="E332" s="274">
        <f>(E323*0.05)+(E324*0.1)+(E325*0.1)+(E326*0.15)+(E327*0.25)+(E328*0.35)</f>
        <v>736139.9105</v>
      </c>
      <c r="F332" s="274">
        <f>(F323*0.05)+(F324*0.1)+(F325*0.1)+(F326*0.15)+(F327*0.25)+(F328*0.35)</f>
        <v>711564.62199999986</v>
      </c>
      <c r="G332" s="275">
        <f>(G323*0.05)+(G324*0.1)+(G325*0.1)+(G326*0.15)+(G327*0.25)+(G328*0.35)</f>
        <v>713483.00150000001</v>
      </c>
      <c r="I332" s="9"/>
      <c r="P332" s="312">
        <f>(P323*0.05)+(P324*0.1)+(P325*0.1)+(P326*0.15)+(P327*0.25)+(P328*0.35)</f>
        <v>90704.128886904757</v>
      </c>
      <c r="Q332" s="274">
        <f>(Q323*0.05)+(Q324*0.1)+(Q325*0.1)+(Q326*0.15)+(Q327*0.25)+(Q328*0.35)</f>
        <v>19029.543885902636</v>
      </c>
      <c r="R332" s="275">
        <f>(R323*0.05)+(R324*0.1)+(R325*0.1)+(R326*0.15)+(R327*0.25)+(R328*0.35)</f>
        <v>-1918.3795000000537</v>
      </c>
      <c r="S332" s="9"/>
      <c r="T332" s="9"/>
    </row>
    <row r="333" spans="1:42" ht="14.65" thickBot="1"/>
    <row r="334" spans="1:42" ht="14.65" thickBot="1">
      <c r="D334" s="283" t="s">
        <v>39</v>
      </c>
      <c r="E334" s="284"/>
      <c r="F334" s="284"/>
      <c r="G334" s="422">
        <v>38903.22</v>
      </c>
    </row>
    <row r="335" spans="1:42" ht="14.65" thickBot="1">
      <c r="G335" s="278"/>
      <c r="H335" s="18" t="s">
        <v>40</v>
      </c>
    </row>
    <row r="336" spans="1:42">
      <c r="D336" s="16" t="s">
        <v>387</v>
      </c>
      <c r="E336" s="286"/>
      <c r="F336" s="286"/>
      <c r="G336" s="287">
        <f>+AVERAGE(F323:F328)</f>
        <v>784651.09500000009</v>
      </c>
      <c r="H336" s="288"/>
      <c r="I336" s="17" t="s">
        <v>41</v>
      </c>
    </row>
    <row r="337" spans="2:19">
      <c r="D337" s="3" t="s">
        <v>18</v>
      </c>
      <c r="G337" s="279">
        <f>+AVERAGE(E323:E328)</f>
        <v>631033.81833333336</v>
      </c>
      <c r="H337" s="289"/>
      <c r="I337" t="s">
        <v>42</v>
      </c>
    </row>
    <row r="338" spans="2:19">
      <c r="D338" s="3" t="s">
        <v>43</v>
      </c>
      <c r="G338" s="279">
        <f>(E328*0.5)+(E327*0.3)+(E326*0.2)</f>
        <v>833639.08400000003</v>
      </c>
      <c r="H338" s="289"/>
    </row>
    <row r="339" spans="2:19">
      <c r="D339" s="3" t="s">
        <v>44</v>
      </c>
      <c r="G339" s="279">
        <f>AVERAGE(E323:E325)</f>
        <v>442482.25666666665</v>
      </c>
      <c r="H339" s="289"/>
    </row>
    <row r="340" spans="2:19">
      <c r="D340" s="3" t="s">
        <v>351</v>
      </c>
      <c r="G340" s="370">
        <f>(AVERAGE(H326:H328) - AVERAGE(H323:H325)) / MAX(ABS(AVERAGE(H323:H325)), 1000)</f>
        <v>-0.14937566777669956</v>
      </c>
      <c r="H340" s="4">
        <f>IF(G340&gt;=1.2,100,IF(G340&gt;=1,80,IF(G340&gt;=0.8,50,IF(G340&gt;=0.5,30,IF(G340&gt;=0.2,0,-20)))))</f>
        <v>-20</v>
      </c>
      <c r="I340" s="501" t="s">
        <v>354</v>
      </c>
      <c r="J340" s="502"/>
      <c r="K340" s="502"/>
      <c r="L340" s="502"/>
      <c r="M340" s="502"/>
      <c r="N340" s="502"/>
      <c r="O340" s="502"/>
      <c r="P340" s="502"/>
    </row>
    <row r="341" spans="2:19">
      <c r="D341" s="369" t="s">
        <v>352</v>
      </c>
      <c r="E341" s="23"/>
      <c r="F341" s="23"/>
      <c r="G341" s="370">
        <f>(AVERAGE(R326:R328) - AVERAGE(R323:R325)) / MAX(ABS(AVERAGE(R323:R325)), 1000)</f>
        <v>1.3574556456601494</v>
      </c>
      <c r="H341" s="202">
        <f>IF(G341&gt;=1.2,100,IF(G341&gt;=1,80,IF(G341&gt;=0.8,50,IF(G341&gt;=0.5,30,IF(G341&gt;=0.2,0,-20)))))</f>
        <v>100</v>
      </c>
      <c r="I341" s="502"/>
      <c r="J341" s="502"/>
      <c r="K341" s="502"/>
      <c r="L341" s="502"/>
      <c r="M341" s="502"/>
      <c r="N341" s="502"/>
      <c r="O341" s="502"/>
      <c r="P341" s="502"/>
    </row>
    <row r="342" spans="2:19">
      <c r="D342" s="3" t="s">
        <v>45</v>
      </c>
      <c r="G342" s="265">
        <f>(SUM(F323:F328)*G362)/6</f>
        <v>-2115.4207625863037</v>
      </c>
      <c r="H342" s="290"/>
      <c r="I342" t="s">
        <v>46</v>
      </c>
    </row>
    <row r="343" spans="2:19">
      <c r="D343" s="3" t="s">
        <v>47</v>
      </c>
      <c r="G343" s="265">
        <f>(R323*0.05)+(R324*0.1)+(R325*0.1)+(R326*0.15)+(R327*0.25)+(R328*0.35)</f>
        <v>-1918.3795000000537</v>
      </c>
      <c r="H343" s="290"/>
      <c r="I343" t="s">
        <v>48</v>
      </c>
    </row>
    <row r="344" spans="2:19">
      <c r="D344" s="3" t="s">
        <v>49</v>
      </c>
      <c r="F344" s="280" t="str">
        <f>+IF(G344&lt;0.75,"Muy Sano",IF(G344&lt;0.85,"Sano",IF(G344&lt;0.95,"Presionado",IF(G344&gt;0.95,"Riesgoso"))))</f>
        <v>Riesgoso</v>
      </c>
      <c r="G344" s="281">
        <f>(S323*0.05)+(S324*0.1)+(S325*0.1)+(S326*0.15)+(S327*0.25)+(S328*0.35)</f>
        <v>21.578686219975669</v>
      </c>
      <c r="H344" s="202">
        <f>+IF(G344&lt;0.75,100,IF(G344&lt;0.8,80,IF(G344&lt;0.85,50,IF(G344&lt;0.9,30,IF(G344&lt;0.95,15,IF(G344&lt;1,0,-20))))))</f>
        <v>-20</v>
      </c>
      <c r="I344" t="s">
        <v>50</v>
      </c>
      <c r="S344" t="s">
        <v>355</v>
      </c>
    </row>
    <row r="345" spans="2:19">
      <c r="D345" s="3" t="s">
        <v>21</v>
      </c>
      <c r="G345" s="282">
        <f>+SUM(K323:K328)</f>
        <v>0</v>
      </c>
      <c r="H345" s="289"/>
      <c r="I345" t="s">
        <v>51</v>
      </c>
    </row>
    <row r="346" spans="2:19">
      <c r="D346" s="3" t="s">
        <v>52</v>
      </c>
      <c r="G346" s="15">
        <f>AVERAGE(E323:E328)/AVERAGE(F323:F328)</f>
        <v>0.80422218531834622</v>
      </c>
      <c r="H346" s="202">
        <f>+IF(G346&gt;15%,100,IF(G346&gt;10%,80,IF(G346&gt;5%,60,IF(G346&gt;3%,50,IF(G346&gt;1.5%,20,IF(G346&lt;1.5%,10,IF(G346=0,0,-10)))))))</f>
        <v>100</v>
      </c>
      <c r="I346" t="s">
        <v>53</v>
      </c>
    </row>
    <row r="347" spans="2:19" ht="14.65" thickBot="1">
      <c r="D347" s="6" t="s">
        <v>54</v>
      </c>
      <c r="E347" s="291"/>
      <c r="F347" s="291"/>
      <c r="G347" s="292">
        <f>1 - (STDEV(F323:F328)/AVERAGE(F323:F328))</f>
        <v>-3.1888458838243983E-2</v>
      </c>
      <c r="H347" s="293">
        <f>MAX(0,MIN(100,G347*100))</f>
        <v>0</v>
      </c>
      <c r="I347" t="s">
        <v>55</v>
      </c>
    </row>
    <row r="348" spans="2:19" ht="14.65" thickBot="1">
      <c r="H348" s="18" t="s">
        <v>40</v>
      </c>
    </row>
    <row r="349" spans="2:19">
      <c r="B349" s="503"/>
      <c r="C349" s="504"/>
      <c r="D349" s="324"/>
      <c r="E349" s="324"/>
      <c r="F349" s="286"/>
      <c r="G349" s="325"/>
      <c r="H349" s="325"/>
    </row>
    <row r="350" spans="2:19">
      <c r="B350" s="489"/>
      <c r="C350" s="490"/>
      <c r="F350" s="8"/>
      <c r="G350" s="294"/>
      <c r="H350" s="294"/>
    </row>
    <row r="351" spans="2:19">
      <c r="B351" s="493" t="s">
        <v>56</v>
      </c>
      <c r="C351" s="494"/>
      <c r="D351" t="s">
        <v>57</v>
      </c>
      <c r="F351" s="8"/>
      <c r="G351" s="294">
        <f>(SUM(E323:E328)-MAX(E323:E328)-MIN(E323:E328))/(COUNT(E323:E328)-2)</f>
        <v>603292.33500000008</v>
      </c>
      <c r="H351" s="295"/>
      <c r="I351" t="s">
        <v>58</v>
      </c>
    </row>
    <row r="352" spans="2:19">
      <c r="B352" s="493" t="s">
        <v>56</v>
      </c>
      <c r="C352" s="494"/>
      <c r="D352" t="s">
        <v>59</v>
      </c>
      <c r="F352" s="8"/>
      <c r="G352" s="294">
        <f>+G351/G334</f>
        <v>15.507516729977622</v>
      </c>
      <c r="H352" s="295">
        <f>IF(G352&lt;0.5,0,IF(G352&lt;1,20,IF(G352&lt;2,50,IF(G352&lt;3,70,IF(G352&lt;5,90,100)))))</f>
        <v>100</v>
      </c>
      <c r="I352" t="s">
        <v>60</v>
      </c>
    </row>
    <row r="353" spans="2:21">
      <c r="B353" s="487" t="s">
        <v>61</v>
      </c>
      <c r="C353" s="488"/>
      <c r="D353" t="s">
        <v>30</v>
      </c>
      <c r="G353" s="294">
        <f>_xlfn.STDEV.S(F323:F328)/AVERAGE(F323:F328)</f>
        <v>1.031888458838244</v>
      </c>
      <c r="H353" s="294">
        <f>MAX(0,100-(G353*40))</f>
        <v>58.724461646470239</v>
      </c>
      <c r="I353" s="17" t="s">
        <v>62</v>
      </c>
    </row>
    <row r="354" spans="2:21">
      <c r="B354" s="505" t="s">
        <v>63</v>
      </c>
      <c r="C354" s="506"/>
      <c r="D354" t="s">
        <v>64</v>
      </c>
      <c r="G354" s="316">
        <f>((E328+E327+E326)/3)/((E323+E324+E325)/3)</f>
        <v>1.8522446214547648</v>
      </c>
      <c r="H354" s="374" t="str">
        <f>IF(G354&gt;=1.2,"liquidez mejora fuerte",IF(G354&gt;=1,"liquidez estable",IF(G354&gt;=0.8,"liquidez deteriora leve","liquidez deteriora fuerte")))</f>
        <v>liquidez mejora fuerte</v>
      </c>
      <c r="I354" t="s">
        <v>65</v>
      </c>
    </row>
    <row r="355" spans="2:21">
      <c r="B355" s="489"/>
      <c r="C355" s="490"/>
      <c r="G355" s="294"/>
      <c r="H355" s="294"/>
    </row>
    <row r="356" spans="2:21">
      <c r="B356" s="487" t="s">
        <v>61</v>
      </c>
      <c r="C356" s="488"/>
      <c r="D356" t="s">
        <v>66</v>
      </c>
      <c r="G356" s="294">
        <f>MIN(3,STDEV(R323:R328)/MAX(ABS(AVERAGE(R323:R328)),1000))</f>
        <v>3</v>
      </c>
      <c r="H356" s="294">
        <f>MAX(0,100-(G356*30))</f>
        <v>10</v>
      </c>
      <c r="I356" t="s">
        <v>67</v>
      </c>
      <c r="R356" t="s">
        <v>68</v>
      </c>
    </row>
    <row r="357" spans="2:21">
      <c r="B357" s="489"/>
      <c r="C357" s="490"/>
      <c r="G357" s="294"/>
      <c r="H357" s="294"/>
    </row>
    <row r="358" spans="2:21">
      <c r="B358" s="491" t="s">
        <v>69</v>
      </c>
      <c r="C358" s="492"/>
      <c r="D358" t="s">
        <v>70</v>
      </c>
      <c r="F358" s="7"/>
      <c r="G358" s="294">
        <f>G342-(STDEV(R323:R328)*0.25)</f>
        <v>-123087.39109143124</v>
      </c>
      <c r="H358" s="294"/>
      <c r="I358" t="s">
        <v>71</v>
      </c>
    </row>
    <row r="359" spans="2:21">
      <c r="B359" s="491" t="s">
        <v>69</v>
      </c>
      <c r="C359" s="492"/>
      <c r="D359" t="s">
        <v>72</v>
      </c>
      <c r="F359" s="7"/>
      <c r="G359" s="294">
        <f>+G358/G334</f>
        <v>-3.1639383858567811</v>
      </c>
      <c r="H359" s="296"/>
      <c r="I359" t="s">
        <v>73</v>
      </c>
      <c r="U359" t="s">
        <v>353</v>
      </c>
    </row>
    <row r="360" spans="2:21">
      <c r="B360" s="491" t="s">
        <v>69</v>
      </c>
      <c r="C360" s="492"/>
      <c r="D360" t="s">
        <v>74</v>
      </c>
      <c r="G360" s="297">
        <f>+G359/P365</f>
        <v>-1.1505230494024659</v>
      </c>
      <c r="H360" s="294">
        <f>IF((G359/P365)&gt;=1.5,100,IF((G359/P365)&gt;=1.2,80,IF((G359/P365)&gt;=1,60,IF((G359/P365)&gt;=0.8,40,0))))</f>
        <v>0</v>
      </c>
    </row>
    <row r="361" spans="2:21">
      <c r="B361" s="493" t="s">
        <v>56</v>
      </c>
      <c r="C361" s="494"/>
      <c r="D361" t="s">
        <v>75</v>
      </c>
      <c r="F361" s="7"/>
      <c r="G361" s="294">
        <f>SUM(F323:F328)/SUM(G323:G328)</f>
        <v>0.86580349114784794</v>
      </c>
      <c r="H361" s="371">
        <f>IF(G361&gt;=1.1,100,IF(G361&gt;=1.05,80,IF(G361&gt;=1,70,IF(G361&gt;=0.95,50,IF(G361&gt;=0.85,35,10)))))</f>
        <v>35</v>
      </c>
      <c r="I361" t="s">
        <v>76</v>
      </c>
      <c r="Q361" s="23" t="s">
        <v>359</v>
      </c>
    </row>
    <row r="362" spans="2:21" ht="14.65" thickBot="1">
      <c r="B362" s="495" t="s">
        <v>69</v>
      </c>
      <c r="C362" s="496"/>
      <c r="D362" s="291" t="s">
        <v>15</v>
      </c>
      <c r="E362" s="291"/>
      <c r="F362" s="298"/>
      <c r="G362" s="299">
        <f>+(F332-G332)/F332</f>
        <v>-2.6960017975713188E-3</v>
      </c>
      <c r="H362" s="300">
        <f>IF(G362&gt;=0.2,100,
IF(G362&gt;=0.1,80,
IF(G362&gt;=0.05,60,
IF(G362&gt;=0,40,
IF(G362&gt;=-0.05,20,0)))))</f>
        <v>20</v>
      </c>
      <c r="I362" t="s">
        <v>77</v>
      </c>
    </row>
    <row r="363" spans="2:21" ht="14.65" thickBot="1"/>
    <row r="364" spans="2:21">
      <c r="B364" s="497" t="s">
        <v>78</v>
      </c>
      <c r="C364" s="498"/>
      <c r="D364" s="189" t="s">
        <v>79</v>
      </c>
      <c r="E364" s="189" t="s">
        <v>40</v>
      </c>
      <c r="F364" s="183"/>
      <c r="I364" s="253" t="s">
        <v>80</v>
      </c>
      <c r="J364" s="375">
        <v>3</v>
      </c>
      <c r="K364" s="256" t="s">
        <v>81</v>
      </c>
      <c r="L364" s="256"/>
      <c r="M364" s="256"/>
      <c r="N364" s="256"/>
      <c r="O364" s="256"/>
      <c r="P364" s="254" t="s">
        <v>82</v>
      </c>
      <c r="Q364" s="254" t="s">
        <v>83</v>
      </c>
    </row>
    <row r="365" spans="2:21">
      <c r="B365" s="184"/>
      <c r="C365" s="182" t="s">
        <v>84</v>
      </c>
      <c r="D365" s="185">
        <v>0.6</v>
      </c>
      <c r="E365" s="15">
        <f>+H360</f>
        <v>0</v>
      </c>
      <c r="F365" s="181"/>
      <c r="I365" s="24" t="s">
        <v>85</v>
      </c>
      <c r="J365" s="4">
        <v>2.75</v>
      </c>
      <c r="K365" s="421">
        <v>36</v>
      </c>
      <c r="L365" s="256"/>
      <c r="M365" s="256"/>
      <c r="N365" s="256"/>
      <c r="O365" s="256"/>
      <c r="P365" s="254">
        <f>+IF(K365&lt;=24,J364,IF(K365&lt;=36,J365,IF(K365&lt;=48,J366,IF(K365&lt;=60,J367,"2"))))</f>
        <v>2.75</v>
      </c>
      <c r="Q365" s="255">
        <f>+IF(K365&lt;24,30.2%,IF(K365&lt;36,26%,IF(K365&lt;48,24.55%,IF(K365&lt;60,23.82%,"0%"))))</f>
        <v>0.2455</v>
      </c>
    </row>
    <row r="366" spans="2:21">
      <c r="B366" s="184"/>
      <c r="C366" s="182" t="s">
        <v>86</v>
      </c>
      <c r="D366" s="185">
        <v>0.25</v>
      </c>
      <c r="E366" s="15">
        <f>+H344</f>
        <v>-20</v>
      </c>
      <c r="F366" s="181"/>
      <c r="I366" s="24" t="s">
        <v>87</v>
      </c>
      <c r="J366" s="4">
        <v>2.5</v>
      </c>
    </row>
    <row r="367" spans="2:21" ht="14.65" thickBot="1">
      <c r="B367" s="184"/>
      <c r="C367" s="182" t="s">
        <v>15</v>
      </c>
      <c r="D367" s="185">
        <v>0.15</v>
      </c>
      <c r="E367" s="15">
        <f>+H362</f>
        <v>20</v>
      </c>
      <c r="F367" s="181"/>
      <c r="I367" s="50" t="s">
        <v>88</v>
      </c>
      <c r="J367" s="317">
        <v>2.25</v>
      </c>
    </row>
    <row r="368" spans="2:21" ht="14.65" thickBot="1">
      <c r="B368" s="186"/>
      <c r="C368" s="187"/>
      <c r="D368" s="187"/>
      <c r="E368" s="188" t="s">
        <v>89</v>
      </c>
      <c r="F368" s="195">
        <f>E365*D365 + E366*D366 + E367*D367</f>
        <v>-2</v>
      </c>
    </row>
    <row r="369" spans="1:16" ht="14.65" thickBot="1">
      <c r="B369" s="499" t="s">
        <v>90</v>
      </c>
      <c r="C369" s="500"/>
      <c r="D369" s="189" t="s">
        <v>79</v>
      </c>
      <c r="E369" s="189" t="s">
        <v>40</v>
      </c>
      <c r="F369" s="183"/>
      <c r="H369" s="9"/>
      <c r="I369" s="313" t="s">
        <v>91</v>
      </c>
      <c r="J369" s="314"/>
      <c r="K369" s="315" t="s">
        <v>92</v>
      </c>
      <c r="L369" s="410"/>
      <c r="M369" s="410"/>
      <c r="N369" s="410"/>
      <c r="O369" s="410"/>
      <c r="P369" s="314"/>
    </row>
    <row r="370" spans="1:16">
      <c r="B370" s="184"/>
      <c r="C370" s="182" t="s">
        <v>93</v>
      </c>
      <c r="D370" s="190">
        <v>0.5</v>
      </c>
      <c r="E370" s="15">
        <f>+H352</f>
        <v>100</v>
      </c>
      <c r="F370" s="181"/>
      <c r="H370" s="182" t="s">
        <v>94</v>
      </c>
      <c r="I370" s="476">
        <f>+G337/P365</f>
        <v>229466.84303030305</v>
      </c>
      <c r="J370" s="477"/>
      <c r="K370" s="478">
        <f>ABS(PV(Q365/12,K365,I370))</f>
        <v>5806022.0113330083</v>
      </c>
      <c r="L370" s="479"/>
      <c r="M370" s="479"/>
      <c r="N370" s="479"/>
      <c r="O370" s="479"/>
      <c r="P370" s="480"/>
    </row>
    <row r="371" spans="1:16">
      <c r="B371" s="184"/>
      <c r="C371" s="182" t="s">
        <v>95</v>
      </c>
      <c r="D371" s="190">
        <v>0.3</v>
      </c>
      <c r="E371" s="15">
        <f>+H361</f>
        <v>35</v>
      </c>
      <c r="F371" s="181"/>
      <c r="H371" s="182" t="s">
        <v>96</v>
      </c>
      <c r="I371" s="476">
        <f>+G336/P365</f>
        <v>285327.67090909096</v>
      </c>
      <c r="J371" s="477"/>
      <c r="K371" s="478">
        <f>ABS(PV(Q365/12,K365,I371))</f>
        <v>7219425.3246504646</v>
      </c>
      <c r="L371" s="479"/>
      <c r="M371" s="479"/>
      <c r="N371" s="479"/>
      <c r="O371" s="479"/>
      <c r="P371" s="480"/>
    </row>
    <row r="372" spans="1:16" ht="14.65" thickBot="1">
      <c r="B372" s="184"/>
      <c r="C372" s="8" t="s">
        <v>97</v>
      </c>
      <c r="D372" s="185">
        <v>0.2</v>
      </c>
      <c r="E372" s="15">
        <f>+H346</f>
        <v>100</v>
      </c>
      <c r="F372" s="181"/>
      <c r="H372" s="257" t="s">
        <v>98</v>
      </c>
      <c r="I372" s="481">
        <f>+G338/P365</f>
        <v>303141.48509090912</v>
      </c>
      <c r="J372" s="482"/>
      <c r="K372" s="483">
        <f>ABS(PV(Q365/12,K365,I372))</f>
        <v>7670154.4839467993</v>
      </c>
      <c r="L372" s="484"/>
      <c r="M372" s="484"/>
      <c r="N372" s="484"/>
      <c r="O372" s="484"/>
      <c r="P372" s="485"/>
    </row>
    <row r="373" spans="1:16" ht="14.65" thickBot="1">
      <c r="B373" s="191"/>
      <c r="C373" s="182"/>
      <c r="D373" s="187"/>
      <c r="E373" s="188" t="s">
        <v>89</v>
      </c>
      <c r="F373" s="195">
        <f xml:space="preserve"> E370*D370 + E371*D371+E372*D372</f>
        <v>80.5</v>
      </c>
    </row>
    <row r="374" spans="1:16">
      <c r="B374" s="196" t="s">
        <v>99</v>
      </c>
      <c r="C374" s="197"/>
      <c r="D374" s="189" t="s">
        <v>79</v>
      </c>
      <c r="E374" s="189" t="s">
        <v>40</v>
      </c>
      <c r="F374" s="183"/>
      <c r="I374" s="486" t="s">
        <v>100</v>
      </c>
      <c r="J374" s="486"/>
      <c r="P374" s="8"/>
    </row>
    <row r="375" spans="1:16">
      <c r="B375" s="184"/>
      <c r="C375" s="182" t="s">
        <v>101</v>
      </c>
      <c r="D375" s="7">
        <v>0.6</v>
      </c>
      <c r="E375" s="15">
        <f>+H356</f>
        <v>10</v>
      </c>
      <c r="F375" s="181"/>
      <c r="I375" t="s">
        <v>102</v>
      </c>
      <c r="J375" t="s">
        <v>103</v>
      </c>
    </row>
    <row r="376" spans="1:16" ht="14.65" thickBot="1">
      <c r="B376" s="184"/>
      <c r="C376" s="182" t="s">
        <v>104</v>
      </c>
      <c r="D376" s="7">
        <v>0.4</v>
      </c>
      <c r="E376" s="201">
        <f>+H347</f>
        <v>0</v>
      </c>
      <c r="F376" s="181"/>
      <c r="I376" s="8" t="s">
        <v>105</v>
      </c>
      <c r="J376" t="s">
        <v>106</v>
      </c>
    </row>
    <row r="377" spans="1:16" ht="14.65" thickBot="1">
      <c r="B377" s="192"/>
      <c r="E377" s="193" t="s">
        <v>89</v>
      </c>
      <c r="F377" s="195">
        <f xml:space="preserve"> E375*D375 + E376*D376</f>
        <v>6</v>
      </c>
      <c r="I377" s="8" t="s">
        <v>107</v>
      </c>
      <c r="J377" t="s">
        <v>108</v>
      </c>
    </row>
    <row r="378" spans="1:16">
      <c r="B378" s="198" t="s">
        <v>109</v>
      </c>
      <c r="C378" s="199"/>
      <c r="D378" s="189" t="s">
        <v>79</v>
      </c>
      <c r="E378" s="189" t="s">
        <v>40</v>
      </c>
      <c r="F378" s="183"/>
      <c r="I378" s="8" t="s">
        <v>110</v>
      </c>
      <c r="J378" t="s">
        <v>111</v>
      </c>
    </row>
    <row r="379" spans="1:16" ht="14.65" thickBot="1">
      <c r="B379" s="194"/>
      <c r="C379" s="182" t="s">
        <v>112</v>
      </c>
      <c r="D379" s="7">
        <v>1</v>
      </c>
      <c r="E379" s="2">
        <f>+H340</f>
        <v>-20</v>
      </c>
      <c r="F379" s="181"/>
      <c r="I379" s="8" t="s">
        <v>113</v>
      </c>
      <c r="J379" t="s">
        <v>114</v>
      </c>
    </row>
    <row r="380" spans="1:16" ht="14.65" thickBot="1">
      <c r="B380" s="186"/>
      <c r="C380" s="187"/>
      <c r="D380" s="187"/>
      <c r="E380" s="188" t="s">
        <v>89</v>
      </c>
      <c r="F380" s="195">
        <f>+ E379*D379</f>
        <v>-20</v>
      </c>
      <c r="I380" s="8" t="s">
        <v>115</v>
      </c>
      <c r="J380" t="s">
        <v>106</v>
      </c>
    </row>
    <row r="381" spans="1:16" ht="14.65" thickBot="1">
      <c r="I381" s="8" t="s">
        <v>350</v>
      </c>
      <c r="J381" t="s">
        <v>108</v>
      </c>
    </row>
    <row r="382" spans="1:16" ht="14.65" thickBot="1">
      <c r="E382" s="180" t="s">
        <v>116</v>
      </c>
      <c r="F382" s="200">
        <f>(F368*0.4)+
(F373*0.3)+
(F377*0.2)+
(F380*0.1)</f>
        <v>22.549999999999997</v>
      </c>
    </row>
    <row r="383" spans="1:16">
      <c r="E383" t="s">
        <v>117</v>
      </c>
      <c r="F383" s="327">
        <f>MIN(1000,MAX(0,F382*10))</f>
        <v>225.49999999999997</v>
      </c>
    </row>
    <row r="384" spans="1:16" ht="27" thickBot="1">
      <c r="A384" s="392"/>
      <c r="D384" s="393"/>
      <c r="E384" s="27"/>
      <c r="F384" s="27"/>
      <c r="G384" s="27"/>
      <c r="H384" s="28"/>
    </row>
    <row r="385" spans="1:42" ht="27" thickBot="1">
      <c r="A385" s="391" t="s">
        <v>377</v>
      </c>
      <c r="B385" s="386"/>
      <c r="C385" s="386"/>
      <c r="D385" s="387"/>
      <c r="E385" s="388"/>
      <c r="F385" s="388"/>
      <c r="G385" s="388"/>
      <c r="H385" s="389"/>
      <c r="I385" s="386"/>
      <c r="J385" s="386"/>
      <c r="K385" s="386"/>
      <c r="L385" s="386"/>
      <c r="M385" s="386"/>
      <c r="N385" s="386"/>
      <c r="O385" s="386"/>
      <c r="P385" s="386"/>
      <c r="Q385" s="386"/>
      <c r="R385" s="386"/>
      <c r="S385" s="386"/>
      <c r="T385" s="386"/>
      <c r="U385" s="386"/>
      <c r="V385" s="386"/>
      <c r="W385" s="386"/>
      <c r="X385" s="386"/>
      <c r="Y385" s="386"/>
      <c r="Z385" s="386"/>
      <c r="AA385" s="386"/>
      <c r="AB385" s="386"/>
      <c r="AC385" s="386"/>
      <c r="AD385" s="386"/>
      <c r="AE385" s="386"/>
      <c r="AF385" s="386"/>
      <c r="AG385" s="386"/>
      <c r="AH385" s="386"/>
      <c r="AI385" s="386"/>
      <c r="AJ385" s="386"/>
      <c r="AK385" s="386"/>
      <c r="AL385" s="386"/>
      <c r="AM385" s="386"/>
      <c r="AN385" s="386"/>
      <c r="AO385" s="386"/>
      <c r="AP385" s="390"/>
    </row>
    <row r="386" spans="1:42" ht="38.65" thickBot="1">
      <c r="B386" s="405" t="s">
        <v>1</v>
      </c>
      <c r="C386" s="406" t="s">
        <v>2</v>
      </c>
      <c r="D386" s="406" t="s">
        <v>3</v>
      </c>
      <c r="E386" s="406" t="s">
        <v>4</v>
      </c>
      <c r="F386" s="406" t="s">
        <v>5</v>
      </c>
      <c r="G386" s="406" t="s">
        <v>6</v>
      </c>
      <c r="H386" s="406" t="s">
        <v>7</v>
      </c>
      <c r="I386" s="407" t="s">
        <v>8</v>
      </c>
      <c r="J386" s="407" t="s">
        <v>9</v>
      </c>
      <c r="K386" s="406" t="s">
        <v>10</v>
      </c>
      <c r="L386" s="406"/>
      <c r="M386" s="406"/>
      <c r="N386" s="406"/>
      <c r="O386" s="406"/>
      <c r="P386" s="406" t="s">
        <v>11</v>
      </c>
      <c r="Q386" s="406" t="s">
        <v>12</v>
      </c>
      <c r="R386" s="406" t="s">
        <v>13</v>
      </c>
      <c r="S386" s="406" t="s">
        <v>14</v>
      </c>
      <c r="T386" s="406" t="s">
        <v>15</v>
      </c>
      <c r="U386" s="406"/>
      <c r="V386" s="408"/>
      <c r="X386" t="s">
        <v>18</v>
      </c>
      <c r="Y386" t="s">
        <v>19</v>
      </c>
      <c r="Z386" t="s">
        <v>363</v>
      </c>
    </row>
    <row r="387" spans="1:42" ht="14.65" thickBot="1">
      <c r="B387" s="248">
        <v>1</v>
      </c>
      <c r="C387" s="396">
        <v>45992</v>
      </c>
      <c r="D387" s="397">
        <v>1343566.53</v>
      </c>
      <c r="E387" s="397">
        <v>1322392.83</v>
      </c>
      <c r="F387" s="398">
        <v>1344240.56</v>
      </c>
      <c r="G387" s="397">
        <v>1365414.26</v>
      </c>
      <c r="H387" s="397">
        <v>1321830.8700000001</v>
      </c>
      <c r="I387" s="399">
        <v>40</v>
      </c>
      <c r="J387" s="399">
        <v>11</v>
      </c>
      <c r="K387" s="400">
        <v>0</v>
      </c>
      <c r="L387" s="400"/>
      <c r="M387" s="400"/>
      <c r="N387" s="400"/>
      <c r="O387" s="400"/>
      <c r="P387" s="401">
        <f t="shared" ref="P387:Q392" si="33">+F387/I387</f>
        <v>33606.014000000003</v>
      </c>
      <c r="Q387" s="401">
        <f t="shared" si="33"/>
        <v>124128.56909090909</v>
      </c>
      <c r="R387" s="397">
        <f t="shared" ref="R387:R392" si="34">+F387-G387</f>
        <v>-21173.699999999953</v>
      </c>
      <c r="S387" s="402">
        <f t="shared" ref="S387:S392" si="35">+G387/F387</f>
        <v>1.0157514217544514</v>
      </c>
      <c r="T387" s="403">
        <f t="shared" ref="T387:T392" si="36">(+F387-G387)/F387</f>
        <v>-1.5751421754451416E-2</v>
      </c>
      <c r="U387" s="400"/>
      <c r="V387" s="404"/>
      <c r="X387" t="s">
        <v>21</v>
      </c>
      <c r="Y387" t="s">
        <v>22</v>
      </c>
      <c r="Z387" t="s">
        <v>364</v>
      </c>
    </row>
    <row r="388" spans="1:42" ht="14.65" thickBot="1">
      <c r="B388" s="249">
        <v>2</v>
      </c>
      <c r="C388" s="301">
        <v>46023</v>
      </c>
      <c r="D388" s="302">
        <v>1322392.83</v>
      </c>
      <c r="E388" s="302">
        <v>236029.78</v>
      </c>
      <c r="F388" s="302">
        <v>617710.94999999995</v>
      </c>
      <c r="G388" s="302">
        <v>1704074</v>
      </c>
      <c r="H388" s="302">
        <v>1117713.56</v>
      </c>
      <c r="I388" s="304">
        <v>33</v>
      </c>
      <c r="J388" s="304">
        <v>17</v>
      </c>
      <c r="K388" s="305">
        <v>0</v>
      </c>
      <c r="L388" s="305"/>
      <c r="M388" s="305"/>
      <c r="N388" s="305"/>
      <c r="O388" s="305"/>
      <c r="P388" s="306">
        <f t="shared" si="33"/>
        <v>18718.513636363634</v>
      </c>
      <c r="Q388" s="306">
        <f t="shared" si="33"/>
        <v>100239.64705882352</v>
      </c>
      <c r="R388" s="302">
        <f t="shared" si="34"/>
        <v>-1086363.05</v>
      </c>
      <c r="S388" s="307">
        <f t="shared" si="35"/>
        <v>2.7586915854413787</v>
      </c>
      <c r="T388" s="308">
        <f t="shared" si="36"/>
        <v>-1.7586915854413785</v>
      </c>
      <c r="U388" s="305"/>
      <c r="V388" s="310"/>
      <c r="X388" t="s">
        <v>24</v>
      </c>
      <c r="Y388" t="s">
        <v>25</v>
      </c>
      <c r="Z388" t="s">
        <v>26</v>
      </c>
    </row>
    <row r="389" spans="1:42" ht="14.65" thickBot="1">
      <c r="B389" s="249">
        <v>3</v>
      </c>
      <c r="C389" s="301">
        <v>46054</v>
      </c>
      <c r="D389" s="302">
        <v>236029.78</v>
      </c>
      <c r="E389" s="302">
        <v>70648.600000000006</v>
      </c>
      <c r="F389" s="303">
        <v>608480.85</v>
      </c>
      <c r="G389" s="302">
        <v>773862.03</v>
      </c>
      <c r="H389" s="302">
        <v>332752.7</v>
      </c>
      <c r="I389" s="304">
        <v>32</v>
      </c>
      <c r="J389" s="304">
        <v>14</v>
      </c>
      <c r="K389" s="305">
        <v>0</v>
      </c>
      <c r="L389" s="305"/>
      <c r="M389" s="305"/>
      <c r="N389" s="305"/>
      <c r="O389" s="305"/>
      <c r="P389" s="306">
        <f t="shared" si="33"/>
        <v>19015.026562499999</v>
      </c>
      <c r="Q389" s="306">
        <f t="shared" si="33"/>
        <v>55275.859285714287</v>
      </c>
      <c r="R389" s="302">
        <f t="shared" si="34"/>
        <v>-165381.18000000005</v>
      </c>
      <c r="S389" s="307">
        <f t="shared" si="35"/>
        <v>1.2717935658944732</v>
      </c>
      <c r="T389" s="308">
        <f t="shared" si="36"/>
        <v>-0.27179356589447318</v>
      </c>
      <c r="U389" s="305"/>
      <c r="V389" s="309"/>
      <c r="X389" t="s">
        <v>27</v>
      </c>
      <c r="Y389" t="s">
        <v>28</v>
      </c>
      <c r="Z389" t="s">
        <v>365</v>
      </c>
    </row>
    <row r="390" spans="1:42" ht="14.65" thickBot="1">
      <c r="B390" s="249">
        <v>4</v>
      </c>
      <c r="C390" s="301">
        <v>46082</v>
      </c>
      <c r="D390" s="302">
        <v>70648.600000000006</v>
      </c>
      <c r="E390" s="302">
        <v>908787.16</v>
      </c>
      <c r="F390" s="302">
        <v>1182863.74</v>
      </c>
      <c r="G390" s="302">
        <v>344725.18</v>
      </c>
      <c r="H390" s="302">
        <v>439137.56</v>
      </c>
      <c r="I390" s="304">
        <v>41</v>
      </c>
      <c r="J390" s="304">
        <v>15</v>
      </c>
      <c r="K390" s="305">
        <v>0</v>
      </c>
      <c r="L390" s="305"/>
      <c r="M390" s="305"/>
      <c r="N390" s="305"/>
      <c r="O390" s="305"/>
      <c r="P390" s="306">
        <f t="shared" si="33"/>
        <v>28850.335121951219</v>
      </c>
      <c r="Q390" s="306">
        <f t="shared" si="33"/>
        <v>22981.678666666667</v>
      </c>
      <c r="R390" s="302">
        <f t="shared" si="34"/>
        <v>838138.56</v>
      </c>
      <c r="S390" s="307">
        <f t="shared" si="35"/>
        <v>0.29143270551179462</v>
      </c>
      <c r="T390" s="308">
        <f t="shared" si="36"/>
        <v>0.70856729448820543</v>
      </c>
      <c r="U390" s="305"/>
      <c r="V390" s="310"/>
      <c r="X390" t="s">
        <v>30</v>
      </c>
      <c r="Y390" t="s">
        <v>31</v>
      </c>
      <c r="Z390" t="s">
        <v>366</v>
      </c>
    </row>
    <row r="391" spans="1:42" ht="14.65" thickBot="1">
      <c r="B391" s="249">
        <v>5</v>
      </c>
      <c r="C391" s="301">
        <v>46113</v>
      </c>
      <c r="D391" s="302">
        <v>908787.16</v>
      </c>
      <c r="E391" s="302">
        <v>339629.34</v>
      </c>
      <c r="F391" s="302">
        <v>1224744.2</v>
      </c>
      <c r="G391" s="302">
        <v>1793902.02</v>
      </c>
      <c r="H391" s="302">
        <v>663530.32999999996</v>
      </c>
      <c r="I391" s="304">
        <v>37</v>
      </c>
      <c r="J391" s="304">
        <v>23</v>
      </c>
      <c r="K391" s="305">
        <v>0</v>
      </c>
      <c r="L391" s="305"/>
      <c r="M391" s="305"/>
      <c r="N391" s="305"/>
      <c r="O391" s="305"/>
      <c r="P391" s="306">
        <f t="shared" si="33"/>
        <v>33101.194594594592</v>
      </c>
      <c r="Q391" s="306">
        <f t="shared" si="33"/>
        <v>77995.740000000005</v>
      </c>
      <c r="R391" s="302">
        <f t="shared" si="34"/>
        <v>-569157.82000000007</v>
      </c>
      <c r="S391" s="307">
        <f t="shared" si="35"/>
        <v>1.4647156687902667</v>
      </c>
      <c r="T391" s="308">
        <f t="shared" si="36"/>
        <v>-0.46471566879026666</v>
      </c>
      <c r="U391" s="305"/>
      <c r="V391" s="303"/>
    </row>
    <row r="392" spans="1:42" ht="14.65" thickBot="1">
      <c r="B392" s="250">
        <v>6</v>
      </c>
      <c r="C392" s="301">
        <v>46143</v>
      </c>
      <c r="D392" s="302">
        <v>339629.34</v>
      </c>
      <c r="E392" s="302">
        <v>892739.44</v>
      </c>
      <c r="F392" s="302">
        <v>1334909.72</v>
      </c>
      <c r="G392" s="302">
        <v>781799.62</v>
      </c>
      <c r="H392" s="302">
        <v>369450.22</v>
      </c>
      <c r="I392" s="304">
        <v>44</v>
      </c>
      <c r="J392" s="304">
        <v>23</v>
      </c>
      <c r="K392" s="305">
        <v>0</v>
      </c>
      <c r="L392" s="305"/>
      <c r="M392" s="305"/>
      <c r="N392" s="305"/>
      <c r="O392" s="305"/>
      <c r="P392" s="306">
        <f t="shared" si="33"/>
        <v>30338.857272727273</v>
      </c>
      <c r="Q392" s="306">
        <f t="shared" si="33"/>
        <v>33991.287826086955</v>
      </c>
      <c r="R392" s="302">
        <f t="shared" si="34"/>
        <v>553110.1</v>
      </c>
      <c r="S392" s="307">
        <f t="shared" si="35"/>
        <v>0.58565729823287227</v>
      </c>
      <c r="T392" s="308">
        <f t="shared" si="36"/>
        <v>0.41434270176712773</v>
      </c>
      <c r="U392" s="305"/>
      <c r="V392" s="309"/>
      <c r="X392" t="s">
        <v>33</v>
      </c>
      <c r="Y392" t="s">
        <v>34</v>
      </c>
      <c r="Z392" t="s">
        <v>367</v>
      </c>
    </row>
    <row r="393" spans="1:42">
      <c r="C393" s="270" t="s">
        <v>36</v>
      </c>
      <c r="D393" s="262"/>
      <c r="E393" s="262"/>
      <c r="F393" s="271">
        <f>SUM(F387:F392)</f>
        <v>6312950.0199999996</v>
      </c>
      <c r="G393" s="271">
        <f>SUM(G387:G392)</f>
        <v>6763777.1100000003</v>
      </c>
      <c r="I393" s="2"/>
      <c r="J393" s="2"/>
      <c r="Q393" s="264"/>
      <c r="R393" s="262"/>
      <c r="S393" s="266"/>
      <c r="T393" s="267"/>
    </row>
    <row r="394" spans="1:42" ht="14.65" thickBot="1">
      <c r="D394" s="262"/>
      <c r="E394" s="262"/>
      <c r="I394" s="2"/>
      <c r="J394" s="2"/>
      <c r="P394" s="263"/>
      <c r="Q394" s="264"/>
      <c r="R394" s="262"/>
      <c r="S394" s="266"/>
      <c r="T394" s="267"/>
    </row>
    <row r="395" spans="1:42" ht="14.65" thickBot="1">
      <c r="C395" s="16" t="s">
        <v>37</v>
      </c>
      <c r="D395" s="272"/>
      <c r="E395" s="272">
        <f>+G401</f>
        <v>628371.19166666665</v>
      </c>
      <c r="F395" s="272">
        <f>+G400</f>
        <v>1052158.3366666667</v>
      </c>
      <c r="G395" s="273">
        <f>+AVERAGE(G387:G392)</f>
        <v>1127296.1850000001</v>
      </c>
      <c r="I395" s="276">
        <f>+AVERAGE(I387:I392)</f>
        <v>37.833333333333336</v>
      </c>
      <c r="J395" s="277">
        <f>+AVERAGE(J387:J392)</f>
        <v>17.166666666666668</v>
      </c>
      <c r="P395" s="311">
        <f>+AVERAGE(P387:P392)</f>
        <v>27271.656864689456</v>
      </c>
      <c r="Q395" s="272">
        <f>+AVERAGE(Q387:Q392)</f>
        <v>69102.130321366756</v>
      </c>
      <c r="R395" s="273">
        <f>+AVERAGE(R387:R392)</f>
        <v>-75137.848333333372</v>
      </c>
      <c r="S395" s="9"/>
      <c r="T395" s="9"/>
    </row>
    <row r="396" spans="1:42" ht="14.65" thickBot="1">
      <c r="C396" s="6" t="s">
        <v>38</v>
      </c>
      <c r="D396" s="274"/>
      <c r="E396" s="274">
        <f>(E387*0.05)+(E388*0.1)+(E389*0.1)+(E390*0.15)+(E391*0.25)+(E392*0.35)</f>
        <v>630471.69249999989</v>
      </c>
      <c r="F396" s="274">
        <f>(F387*0.05)+(F388*0.1)+(F389*0.1)+(F390*0.15)+(F391*0.25)+(F392*0.35)</f>
        <v>1140665.2209999999</v>
      </c>
      <c r="G396" s="275">
        <f>(G387*0.05)+(G388*0.1)+(G389*0.1)+(G390*0.15)+(G391*0.25)+(G392*0.35)</f>
        <v>1089878.4649999999</v>
      </c>
      <c r="I396" s="9"/>
      <c r="P396" s="312">
        <f>(P387*0.05)+(P388*0.1)+(P389*0.1)+(P390*0.15)+(P391*0.25)+(P392*0.35)</f>
        <v>28675.103682282235</v>
      </c>
      <c r="Q396" s="274">
        <f>(Q387*0.05)+(Q388*0.1)+(Q389*0.1)+(Q390*0.15)+(Q391*0.25)+(Q392*0.35)</f>
        <v>56601.116628129676</v>
      </c>
      <c r="R396" s="275">
        <f>(R387*0.05)+(R388*0.1)+(R389*0.1)+(R390*0.15)+(R391*0.25)+(R392*0.35)</f>
        <v>50786.755999999936</v>
      </c>
      <c r="S396" s="9"/>
      <c r="T396" s="9"/>
    </row>
    <row r="397" spans="1:42" ht="14.65" thickBot="1"/>
    <row r="398" spans="1:42" ht="14.65" thickBot="1">
      <c r="D398" s="283" t="s">
        <v>39</v>
      </c>
      <c r="E398" s="284"/>
      <c r="F398" s="284"/>
      <c r="G398" s="285">
        <v>33576.19</v>
      </c>
    </row>
    <row r="399" spans="1:42" ht="14.65" thickBot="1">
      <c r="G399" s="278"/>
      <c r="H399" s="18" t="s">
        <v>40</v>
      </c>
    </row>
    <row r="400" spans="1:42">
      <c r="D400" s="16" t="s">
        <v>0</v>
      </c>
      <c r="E400" s="286"/>
      <c r="F400" s="286"/>
      <c r="G400" s="409">
        <f>+AVERAGE(F387:F392)</f>
        <v>1052158.3366666667</v>
      </c>
      <c r="H400" s="288"/>
      <c r="I400" s="17" t="s">
        <v>368</v>
      </c>
    </row>
    <row r="401" spans="2:23">
      <c r="D401" s="3" t="s">
        <v>18</v>
      </c>
      <c r="G401" s="279">
        <f>+AVERAGE(E387:E392)</f>
        <v>628371.19166666665</v>
      </c>
      <c r="H401" s="289"/>
      <c r="I401" t="s">
        <v>42</v>
      </c>
    </row>
    <row r="402" spans="2:23">
      <c r="D402" s="3" t="s">
        <v>43</v>
      </c>
      <c r="G402" s="279">
        <f>(E392*0.5)+(E391*0.3)+(E390*0.2)</f>
        <v>730015.95400000003</v>
      </c>
      <c r="H402" s="289"/>
    </row>
    <row r="403" spans="2:23">
      <c r="D403" s="3" t="s">
        <v>44</v>
      </c>
      <c r="G403" s="279">
        <f>AVERAGE(E387:E389)</f>
        <v>543023.73666666669</v>
      </c>
      <c r="H403" s="289"/>
    </row>
    <row r="404" spans="2:23">
      <c r="D404" s="3" t="s">
        <v>369</v>
      </c>
      <c r="G404" s="370">
        <f>(AVERAGE(H390:H392) - AVERAGE(H387:H389)) / MAX(ABS(AVERAGE(H387:H389)), 1000)</f>
        <v>-0.46898977960562271</v>
      </c>
      <c r="H404" s="4">
        <f>IF(G404&gt;=1.2,100,IF(G404&gt;=1,80,IF(G404&gt;=0.8,50,IF(G404&gt;=0.5,30,IF(G404&gt;=0.2,0,-20)))))</f>
        <v>-20</v>
      </c>
      <c r="I404" s="23" t="str">
        <f>IF(G404&gt;=1.2,"Liquidez Saldo mejora fuerte",IF(G404&gt;=1,"Liquidez Saldo estable",IF(G404&gt;=0.8,"Liquidez Saldo deteriora leve","Liquidez Saldo deteriora fuerte")))</f>
        <v>Liquidez Saldo deteriora fuerte</v>
      </c>
      <c r="P404" s="501"/>
      <c r="Q404" s="502"/>
      <c r="R404" s="502"/>
      <c r="S404" s="502"/>
      <c r="T404" s="502"/>
      <c r="U404" s="502"/>
      <c r="V404" s="502"/>
      <c r="W404" s="502"/>
    </row>
    <row r="405" spans="2:23">
      <c r="D405" s="369" t="s">
        <v>352</v>
      </c>
      <c r="E405" s="23"/>
      <c r="F405" s="23"/>
      <c r="G405" s="370">
        <f>(AVERAGE(R390:R392) - AVERAGE(R387:R389)) / MAX(ABS(AVERAGE(R387:R389)), 1000)</f>
        <v>1.6458317701597618</v>
      </c>
      <c r="H405" s="202">
        <f>IF(G405&gt;=1.2,100,IF(G405&gt;=1,80,IF(G405&gt;=0.8,50,IF(G405&gt;=0.5,30,IF(G405&gt;=0.2,0,-20)))))</f>
        <v>100</v>
      </c>
      <c r="I405" s="23" t="str">
        <f>IF(G405&gt;=1.2,"Liquidez Flujo mejora fuerte",IF(G405&gt;=1,"Liquidez Flujo estable",IF(G405&gt;=0.8,"Liquidez Flujo deteriora leve","Liquidez Flujo deteriora fuerte")))</f>
        <v>Liquidez Flujo mejora fuerte</v>
      </c>
      <c r="P405" s="502"/>
      <c r="Q405" s="502"/>
      <c r="R405" s="502"/>
      <c r="S405" s="502"/>
      <c r="T405" s="502"/>
      <c r="U405" s="502"/>
      <c r="V405" s="502"/>
      <c r="W405" s="502"/>
    </row>
    <row r="406" spans="2:23">
      <c r="D406" s="3" t="s">
        <v>45</v>
      </c>
      <c r="G406" s="265">
        <f>(SUM(F387:F392)*G426)/6</f>
        <v>46846.092730704819</v>
      </c>
      <c r="H406" s="290"/>
      <c r="I406" t="s">
        <v>46</v>
      </c>
    </row>
    <row r="407" spans="2:23">
      <c r="D407" s="3" t="s">
        <v>47</v>
      </c>
      <c r="G407" s="265">
        <f>(R387*0.05)+(R388*0.1)+(R389*0.1)+(R390*0.15)+(R391*0.25)+(R392*0.35)</f>
        <v>50786.755999999936</v>
      </c>
      <c r="H407" s="290"/>
      <c r="I407" t="s">
        <v>48</v>
      </c>
    </row>
    <row r="408" spans="2:23">
      <c r="D408" s="3" t="s">
        <v>49</v>
      </c>
      <c r="F408" s="280" t="str">
        <f>+IF(G408&lt;0.75,"Muy Sano",IF(G408&lt;0.85,"Sano",IF(G408&lt;0.95,"Presionado",IF(G408&gt;0.95,"Riesgoso"))))</f>
        <v>Riesgoso</v>
      </c>
      <c r="G408" s="281">
        <f>(S387*0.05)+(S388*0.1)+(S389*0.1)+(S390*0.15)+(S391*0.25)+(S392*0.35)</f>
        <v>1.0687099636271489</v>
      </c>
      <c r="H408" s="202">
        <f>+IF(G408&lt;0.75,100,IF(G408&lt;0.8,80,IF(G408&lt;0.85,50,IF(G408&lt;0.9,30,IF(G408&lt;0.95,15,IF(G408&lt;1,0,-20))))))</f>
        <v>-20</v>
      </c>
      <c r="I408" t="s">
        <v>50</v>
      </c>
      <c r="S408" t="s">
        <v>355</v>
      </c>
    </row>
    <row r="409" spans="2:23">
      <c r="D409" s="3" t="s">
        <v>21</v>
      </c>
      <c r="G409" s="282">
        <f>+SUM(K387:K392)</f>
        <v>0</v>
      </c>
      <c r="H409" s="289"/>
      <c r="I409" t="s">
        <v>51</v>
      </c>
    </row>
    <row r="410" spans="2:23">
      <c r="D410" s="3" t="s">
        <v>52</v>
      </c>
      <c r="G410" s="15">
        <f>AVERAGE(E387:E392)/AVERAGE(F387:F392)</f>
        <v>0.59722113085888173</v>
      </c>
      <c r="H410" s="202">
        <f>+IF(G410&gt;15%,100,IF(G410&gt;10%,80,IF(G410&gt;5%,60,IF(G410&gt;3%,50,IF(G410&gt;1.5%,20,IF(G410&lt;1.5%,10,IF(G410=0,0,-10)))))))</f>
        <v>100</v>
      </c>
      <c r="I410" t="s">
        <v>53</v>
      </c>
    </row>
    <row r="411" spans="2:23" ht="14.65" thickBot="1">
      <c r="D411" s="6" t="s">
        <v>54</v>
      </c>
      <c r="E411" s="291"/>
      <c r="F411" s="291"/>
      <c r="G411" s="292">
        <f>1 - (STDEV(F387:F392)/AVERAGE(F387:F392))</f>
        <v>0.67138726624810352</v>
      </c>
      <c r="H411" s="293">
        <f>MAX(0,MIN(100,G411*100))</f>
        <v>67.138726624810346</v>
      </c>
      <c r="I411" t="s">
        <v>55</v>
      </c>
    </row>
    <row r="412" spans="2:23" ht="14.65" thickBot="1">
      <c r="H412" t="s">
        <v>40</v>
      </c>
    </row>
    <row r="413" spans="2:23">
      <c r="B413" s="503"/>
      <c r="C413" s="504"/>
      <c r="D413" s="324"/>
      <c r="E413" s="324"/>
      <c r="F413" s="286"/>
      <c r="G413" s="325"/>
      <c r="H413" s="325"/>
    </row>
    <row r="414" spans="2:23">
      <c r="B414" s="489"/>
      <c r="C414" s="490"/>
      <c r="F414" s="8"/>
      <c r="G414" s="294"/>
      <c r="H414" s="294"/>
    </row>
    <row r="415" spans="2:23">
      <c r="B415" s="493" t="s">
        <v>56</v>
      </c>
      <c r="C415" s="494"/>
      <c r="D415" t="s">
        <v>57</v>
      </c>
      <c r="F415" s="8"/>
      <c r="G415" s="294">
        <f>(SUM(E387:E392)-MAX(E387:E392)-MIN(E387:E392))/(COUNT(E387:E392)-2)</f>
        <v>594296.42999999993</v>
      </c>
      <c r="H415" s="295"/>
      <c r="I415" t="s">
        <v>58</v>
      </c>
    </row>
    <row r="416" spans="2:23">
      <c r="B416" s="493" t="s">
        <v>56</v>
      </c>
      <c r="C416" s="494"/>
      <c r="D416" t="s">
        <v>59</v>
      </c>
      <c r="F416" s="8"/>
      <c r="G416" s="294">
        <f>+G415/G398</f>
        <v>17.699936472839827</v>
      </c>
      <c r="H416" s="295">
        <f>IF(G416&lt;0.5,0,IF(G416&lt;1,20,IF(G416&lt;2,50,IF(G416&lt;3,70,IF(G416&lt;5,90,100)))))</f>
        <v>100</v>
      </c>
      <c r="I416" t="s">
        <v>60</v>
      </c>
    </row>
    <row r="417" spans="2:18">
      <c r="B417" s="487" t="s">
        <v>61</v>
      </c>
      <c r="C417" s="488"/>
      <c r="D417" t="s">
        <v>30</v>
      </c>
      <c r="G417" s="294">
        <f>_xlfn.STDEV.S(F387:F392)/AVERAGE(F387:F392)</f>
        <v>0.32861273375189648</v>
      </c>
      <c r="H417" s="294">
        <f>MAX(0,100-(G417*40))</f>
        <v>86.855490649924135</v>
      </c>
      <c r="I417" s="17" t="s">
        <v>62</v>
      </c>
    </row>
    <row r="418" spans="2:18">
      <c r="B418" s="505" t="s">
        <v>63</v>
      </c>
      <c r="C418" s="506"/>
      <c r="D418" t="s">
        <v>64</v>
      </c>
      <c r="G418" s="316">
        <f>((E392+E391+E390)/3)/((E387+E388+E389)/3)</f>
        <v>1.3143415259299804</v>
      </c>
      <c r="H418" s="374" t="str">
        <f>IF(G418&gt;=1.2,"liquidez mejora fuerte",IF(G418&gt;=1,"liquidez estable",IF(G418&gt;=0.8,"liquidez deteriora leve","liquidez deteriora fuerte")))</f>
        <v>liquidez mejora fuerte</v>
      </c>
      <c r="I418" t="s">
        <v>65</v>
      </c>
    </row>
    <row r="419" spans="2:18">
      <c r="B419" s="489"/>
      <c r="C419" s="490"/>
      <c r="G419" s="294"/>
      <c r="H419" s="294"/>
    </row>
    <row r="420" spans="2:18">
      <c r="B420" s="487" t="s">
        <v>61</v>
      </c>
      <c r="C420" s="488"/>
      <c r="D420" t="s">
        <v>66</v>
      </c>
      <c r="G420" s="294">
        <f>MIN(3,STDEV(R387:R392)/MAX(ABS(AVERAGE(R387:R392)),1000))</f>
        <v>3</v>
      </c>
      <c r="H420" s="294">
        <f>MAX(0,100-(G420*30))</f>
        <v>10</v>
      </c>
      <c r="I420" t="s">
        <v>67</v>
      </c>
      <c r="R420" t="s">
        <v>68</v>
      </c>
    </row>
    <row r="421" spans="2:18">
      <c r="B421" s="489"/>
      <c r="C421" s="490"/>
      <c r="G421" s="294"/>
      <c r="H421" s="294"/>
    </row>
    <row r="422" spans="2:18">
      <c r="B422" s="491" t="s">
        <v>69</v>
      </c>
      <c r="C422" s="492"/>
      <c r="D422" t="s">
        <v>70</v>
      </c>
      <c r="F422" s="7"/>
      <c r="G422" s="294">
        <f>G406-(STDEV(R387:R392)*0.25)</f>
        <v>-130158.75931120402</v>
      </c>
      <c r="H422" s="294"/>
      <c r="I422" t="s">
        <v>71</v>
      </c>
    </row>
    <row r="423" spans="2:18">
      <c r="B423" s="491" t="s">
        <v>69</v>
      </c>
      <c r="C423" s="492"/>
      <c r="D423" t="s">
        <v>72</v>
      </c>
      <c r="F423" s="7"/>
      <c r="G423" s="294">
        <f>+G422/G398</f>
        <v>-3.8765196203382222</v>
      </c>
      <c r="H423" s="296"/>
      <c r="I423" t="s">
        <v>73</v>
      </c>
    </row>
    <row r="424" spans="2:18">
      <c r="B424" s="491" t="s">
        <v>69</v>
      </c>
      <c r="C424" s="492"/>
      <c r="D424" t="s">
        <v>74</v>
      </c>
      <c r="G424" s="297">
        <f>+G423/P429</f>
        <v>-1.550607848135289</v>
      </c>
      <c r="H424" s="294">
        <f>IF((G423/P429)&gt;=1.5,100,
IF((G423/P429)&gt;=1.2,80,
IF((G423/P429)&gt;=1,60,
IF((G423/P429)&gt;=0.8,40,0))))</f>
        <v>0</v>
      </c>
    </row>
    <row r="425" spans="2:18">
      <c r="B425" s="493" t="s">
        <v>56</v>
      </c>
      <c r="C425" s="494"/>
      <c r="D425" t="s">
        <v>75</v>
      </c>
      <c r="F425" s="7"/>
      <c r="G425" s="294">
        <f>SUM(F387:F392)/SUM(G387:G392)</f>
        <v>0.93334684412745217</v>
      </c>
      <c r="H425" s="371">
        <f>IF(G425&gt;=1.1,100,IF(G425&gt;=1.05,80,IF(G425&gt;=1,70,IF(G425&gt;=0.95,50,IF(G425&gt;=0.85,35,10)))))</f>
        <v>35</v>
      </c>
      <c r="I425" t="s">
        <v>76</v>
      </c>
      <c r="Q425" s="23"/>
    </row>
    <row r="426" spans="2:18" ht="14.65" thickBot="1">
      <c r="B426" s="495" t="s">
        <v>69</v>
      </c>
      <c r="C426" s="496"/>
      <c r="D426" s="291" t="s">
        <v>15</v>
      </c>
      <c r="E426" s="291"/>
      <c r="F426" s="298"/>
      <c r="G426" s="299">
        <f>+(F396-G396)/F396</f>
        <v>4.4523805113893325E-2</v>
      </c>
      <c r="H426" s="300">
        <f>IF(G426&gt;=0.2,100,
IF(G426&gt;=0.1,80,
IF(G426&gt;=0.05,60,
IF(G426&gt;=0,40,
IF(G426&gt;=-0.05,20,0)))))</f>
        <v>40</v>
      </c>
      <c r="I426" t="s">
        <v>77</v>
      </c>
    </row>
    <row r="427" spans="2:18" ht="14.65" thickBot="1"/>
    <row r="428" spans="2:18">
      <c r="B428" s="497" t="s">
        <v>78</v>
      </c>
      <c r="C428" s="498"/>
      <c r="D428" s="189" t="s">
        <v>79</v>
      </c>
      <c r="E428" s="189" t="s">
        <v>40</v>
      </c>
      <c r="F428" s="183"/>
      <c r="I428" s="253" t="s">
        <v>80</v>
      </c>
      <c r="J428" s="375">
        <v>3</v>
      </c>
      <c r="K428" s="256" t="s">
        <v>81</v>
      </c>
      <c r="L428" s="256"/>
      <c r="M428" s="256"/>
      <c r="N428" s="256"/>
      <c r="O428" s="256"/>
      <c r="P428" s="254" t="s">
        <v>82</v>
      </c>
      <c r="Q428" s="254" t="s">
        <v>83</v>
      </c>
    </row>
    <row r="429" spans="2:18">
      <c r="B429" s="184"/>
      <c r="C429" s="182" t="s">
        <v>84</v>
      </c>
      <c r="D429" s="185">
        <v>0.6</v>
      </c>
      <c r="E429" s="15">
        <f>+H424</f>
        <v>0</v>
      </c>
      <c r="F429" s="181"/>
      <c r="I429" s="24" t="s">
        <v>85</v>
      </c>
      <c r="J429" s="4">
        <v>2.75</v>
      </c>
      <c r="K429" s="256">
        <v>48</v>
      </c>
      <c r="L429" s="256"/>
      <c r="M429" s="256"/>
      <c r="N429" s="256"/>
      <c r="O429" s="256"/>
      <c r="P429" s="254">
        <f>+IF(K429&lt;=24,J428,IF(K429&lt;=36,J429,IF(K429&lt;=48,J430,IF(K429&lt;=60,J431,"2"))))</f>
        <v>2.5</v>
      </c>
      <c r="Q429" s="255">
        <f>+IF(K429&lt;24,30.2%,IF(K429&lt;36,26%,IF(K429&lt;48,24.55%,IF(K429&lt;60,23.82%,"0%"))))</f>
        <v>0.2382</v>
      </c>
    </row>
    <row r="430" spans="2:18">
      <c r="B430" s="184"/>
      <c r="C430" s="182" t="s">
        <v>86</v>
      </c>
      <c r="D430" s="185">
        <v>0.25</v>
      </c>
      <c r="E430" s="15">
        <f>+H408</f>
        <v>-20</v>
      </c>
      <c r="F430" s="181"/>
      <c r="I430" s="24" t="s">
        <v>87</v>
      </c>
      <c r="J430" s="4">
        <v>2.5</v>
      </c>
    </row>
    <row r="431" spans="2:18" ht="14.65" thickBot="1">
      <c r="B431" s="184"/>
      <c r="C431" s="182" t="s">
        <v>15</v>
      </c>
      <c r="D431" s="185">
        <v>0.15</v>
      </c>
      <c r="E431" s="15">
        <f>+H426</f>
        <v>40</v>
      </c>
      <c r="F431" s="181"/>
      <c r="I431" s="50" t="s">
        <v>88</v>
      </c>
      <c r="J431" s="317">
        <v>2.25</v>
      </c>
    </row>
    <row r="432" spans="2:18" ht="14.65" thickBot="1">
      <c r="B432" s="186"/>
      <c r="C432" s="187"/>
      <c r="D432" s="187"/>
      <c r="E432" s="188" t="s">
        <v>89</v>
      </c>
      <c r="F432" s="195">
        <f>E429*D429 + E430*D430 + E431*D431</f>
        <v>1</v>
      </c>
    </row>
    <row r="433" spans="2:16" ht="14.65" thickBot="1">
      <c r="B433" s="499" t="s">
        <v>90</v>
      </c>
      <c r="C433" s="500"/>
      <c r="D433" s="189" t="s">
        <v>79</v>
      </c>
      <c r="E433" s="189" t="s">
        <v>40</v>
      </c>
      <c r="F433" s="183"/>
      <c r="H433" s="9"/>
      <c r="I433" s="313" t="s">
        <v>91</v>
      </c>
      <c r="J433" s="314"/>
      <c r="K433" s="315" t="s">
        <v>92</v>
      </c>
      <c r="L433" s="410"/>
      <c r="M433" s="410"/>
      <c r="N433" s="410"/>
      <c r="O433" s="410"/>
      <c r="P433" s="314"/>
    </row>
    <row r="434" spans="2:16">
      <c r="B434" s="184"/>
      <c r="C434" s="182" t="s">
        <v>93</v>
      </c>
      <c r="D434" s="190">
        <v>0.5</v>
      </c>
      <c r="E434" s="15">
        <f>+H416</f>
        <v>100</v>
      </c>
      <c r="F434" s="181"/>
      <c r="H434" s="182" t="s">
        <v>94</v>
      </c>
      <c r="I434" s="476">
        <f>+G401/P429</f>
        <v>251348.47666666665</v>
      </c>
      <c r="J434" s="477"/>
      <c r="K434" s="478">
        <f>ABS(PV(Q429/12,K429,I434))</f>
        <v>7733227.0069247484</v>
      </c>
      <c r="L434" s="479"/>
      <c r="M434" s="479"/>
      <c r="N434" s="479"/>
      <c r="O434" s="479"/>
      <c r="P434" s="480"/>
    </row>
    <row r="435" spans="2:16">
      <c r="B435" s="184"/>
      <c r="C435" s="182" t="s">
        <v>95</v>
      </c>
      <c r="D435" s="190">
        <v>0.3</v>
      </c>
      <c r="E435" s="15">
        <f>+H425</f>
        <v>35</v>
      </c>
      <c r="F435" s="181"/>
      <c r="H435" s="182" t="s">
        <v>96</v>
      </c>
      <c r="I435" s="476">
        <f>+G400/P429</f>
        <v>420863.33466666669</v>
      </c>
      <c r="J435" s="477"/>
      <c r="K435" s="478">
        <f>ABS(PV(Q429/12,K429,I435))</f>
        <v>12948682.836796753</v>
      </c>
      <c r="L435" s="479"/>
      <c r="M435" s="479"/>
      <c r="N435" s="479"/>
      <c r="O435" s="479"/>
      <c r="P435" s="480"/>
    </row>
    <row r="436" spans="2:16" ht="14.65" thickBot="1">
      <c r="B436" s="184"/>
      <c r="C436" s="8" t="s">
        <v>97</v>
      </c>
      <c r="D436" s="185">
        <v>0.2</v>
      </c>
      <c r="E436" s="15">
        <f>+H410</f>
        <v>100</v>
      </c>
      <c r="F436" s="181"/>
      <c r="H436" s="257" t="s">
        <v>98</v>
      </c>
      <c r="I436" s="481">
        <f>+G402/P429</f>
        <v>292006.38160000002</v>
      </c>
      <c r="J436" s="482"/>
      <c r="K436" s="483">
        <f>ABS(PV(Q429/12,K429,I436))</f>
        <v>8984146.8956989534</v>
      </c>
      <c r="L436" s="484"/>
      <c r="M436" s="484"/>
      <c r="N436" s="484"/>
      <c r="O436" s="484"/>
      <c r="P436" s="485"/>
    </row>
    <row r="437" spans="2:16" ht="14.65" thickBot="1">
      <c r="B437" s="191"/>
      <c r="C437" s="182"/>
      <c r="D437" s="187"/>
      <c r="E437" s="188" t="s">
        <v>89</v>
      </c>
      <c r="F437" s="195">
        <f xml:space="preserve"> E434*D434 + E435*D435+E436*D436</f>
        <v>80.5</v>
      </c>
    </row>
    <row r="438" spans="2:16">
      <c r="B438" s="196" t="s">
        <v>99</v>
      </c>
      <c r="C438" s="197"/>
      <c r="D438" s="189" t="s">
        <v>79</v>
      </c>
      <c r="E438" s="189" t="s">
        <v>40</v>
      </c>
      <c r="F438" s="183"/>
      <c r="I438" s="486" t="s">
        <v>100</v>
      </c>
      <c r="J438" s="486"/>
      <c r="P438" s="8"/>
    </row>
    <row r="439" spans="2:16">
      <c r="B439" s="184"/>
      <c r="C439" s="182" t="s">
        <v>101</v>
      </c>
      <c r="D439" s="7">
        <v>0.6</v>
      </c>
      <c r="E439" s="15">
        <f>+H420</f>
        <v>10</v>
      </c>
      <c r="F439" s="181"/>
      <c r="I439" t="s">
        <v>102</v>
      </c>
      <c r="J439" t="s">
        <v>103</v>
      </c>
    </row>
    <row r="440" spans="2:16" ht="14.65" thickBot="1">
      <c r="B440" s="184"/>
      <c r="C440" s="182" t="s">
        <v>104</v>
      </c>
      <c r="D440" s="7">
        <v>0.4</v>
      </c>
      <c r="E440" s="201">
        <f>+H411</f>
        <v>67.138726624810346</v>
      </c>
      <c r="F440" s="181"/>
      <c r="I440" s="8" t="s">
        <v>105</v>
      </c>
      <c r="J440" t="s">
        <v>106</v>
      </c>
    </row>
    <row r="441" spans="2:16" ht="14.65" thickBot="1">
      <c r="B441" s="192"/>
      <c r="E441" s="193" t="s">
        <v>89</v>
      </c>
      <c r="F441" s="195">
        <f xml:space="preserve"> E439*D439 + E440*D440</f>
        <v>32.855490649924135</v>
      </c>
      <c r="I441" s="8" t="s">
        <v>107</v>
      </c>
      <c r="J441" t="s">
        <v>108</v>
      </c>
    </row>
    <row r="442" spans="2:16">
      <c r="B442" s="198" t="s">
        <v>109</v>
      </c>
      <c r="C442" s="199"/>
      <c r="D442" s="189" t="s">
        <v>79</v>
      </c>
      <c r="E442" s="189" t="s">
        <v>40</v>
      </c>
      <c r="F442" s="183"/>
      <c r="I442" s="8" t="s">
        <v>110</v>
      </c>
      <c r="J442" t="s">
        <v>111</v>
      </c>
    </row>
    <row r="443" spans="2:16" ht="14.65" thickBot="1">
      <c r="B443" s="194"/>
      <c r="C443" s="182" t="s">
        <v>112</v>
      </c>
      <c r="D443" s="7">
        <v>1</v>
      </c>
      <c r="E443" s="2">
        <f>+H404</f>
        <v>-20</v>
      </c>
      <c r="F443" s="181"/>
      <c r="I443" s="8" t="s">
        <v>113</v>
      </c>
      <c r="J443" t="s">
        <v>114</v>
      </c>
    </row>
    <row r="444" spans="2:16" ht="14.65" thickBot="1">
      <c r="B444" s="186"/>
      <c r="C444" s="187"/>
      <c r="D444" s="187"/>
      <c r="E444" s="188" t="s">
        <v>89</v>
      </c>
      <c r="F444" s="195">
        <f>+ E443*D443</f>
        <v>-20</v>
      </c>
      <c r="I444" s="8" t="s">
        <v>115</v>
      </c>
      <c r="J444" t="s">
        <v>106</v>
      </c>
    </row>
    <row r="445" spans="2:16" ht="14.65" thickBot="1">
      <c r="I445" s="8"/>
    </row>
    <row r="446" spans="2:16" ht="14.65" thickBot="1">
      <c r="E446" s="180" t="s">
        <v>116</v>
      </c>
      <c r="F446" s="200">
        <f>(F432*0.4)+
(F437*0.3)+
(F441*0.2)+
(F444*0.1)</f>
        <v>29.121098129984823</v>
      </c>
    </row>
    <row r="447" spans="2:16">
      <c r="E447" t="s">
        <v>117</v>
      </c>
      <c r="F447" s="327">
        <f>MIN(1000,MAX(0,F446*10))</f>
        <v>291.21098129984824</v>
      </c>
    </row>
    <row r="449" spans="1:42" ht="14.65" thickBot="1"/>
    <row r="450" spans="1:42" ht="27" thickBot="1">
      <c r="A450" s="391" t="s">
        <v>376</v>
      </c>
      <c r="B450" s="386"/>
      <c r="C450" s="386"/>
      <c r="D450" s="387"/>
      <c r="E450" s="388"/>
      <c r="F450" s="388"/>
      <c r="G450" s="388"/>
      <c r="H450" s="389"/>
      <c r="I450" s="386"/>
      <c r="J450" s="386"/>
      <c r="K450" s="386"/>
      <c r="L450" s="386"/>
      <c r="M450" s="386"/>
      <c r="N450" s="386"/>
      <c r="O450" s="386"/>
      <c r="P450" s="386"/>
      <c r="Q450" s="386"/>
      <c r="R450" s="386"/>
      <c r="S450" s="386"/>
      <c r="T450" s="386"/>
      <c r="U450" s="386"/>
      <c r="V450" s="386"/>
      <c r="W450" s="386"/>
      <c r="X450" s="386"/>
      <c r="Y450" s="386"/>
      <c r="Z450" s="386"/>
      <c r="AA450" s="386"/>
      <c r="AB450" s="386"/>
      <c r="AC450" s="386"/>
      <c r="AD450" s="386"/>
      <c r="AE450" s="386"/>
      <c r="AF450" s="386"/>
      <c r="AG450" s="386"/>
      <c r="AH450" s="386"/>
      <c r="AI450" s="386"/>
      <c r="AJ450" s="386"/>
      <c r="AK450" s="386"/>
      <c r="AL450" s="386"/>
      <c r="AM450" s="386"/>
      <c r="AN450" s="386"/>
      <c r="AO450" s="386"/>
      <c r="AP450" s="390"/>
    </row>
    <row r="451" spans="1:42" ht="42.75" customHeight="1" thickBot="1">
      <c r="B451" s="405" t="s">
        <v>1</v>
      </c>
      <c r="C451" s="406" t="s">
        <v>2</v>
      </c>
      <c r="D451" s="406" t="s">
        <v>3</v>
      </c>
      <c r="E451" s="406" t="s">
        <v>4</v>
      </c>
      <c r="F451" s="406" t="s">
        <v>5</v>
      </c>
      <c r="G451" s="406" t="s">
        <v>6</v>
      </c>
      <c r="H451" s="406" t="s">
        <v>7</v>
      </c>
      <c r="I451" s="407" t="s">
        <v>8</v>
      </c>
      <c r="J451" s="407" t="s">
        <v>9</v>
      </c>
      <c r="K451" s="406" t="s">
        <v>10</v>
      </c>
      <c r="L451" s="406"/>
      <c r="M451" s="406"/>
      <c r="N451" s="406"/>
      <c r="O451" s="406"/>
      <c r="P451" s="406" t="s">
        <v>11</v>
      </c>
      <c r="Q451" s="406" t="s">
        <v>12</v>
      </c>
      <c r="R451" s="406" t="s">
        <v>13</v>
      </c>
      <c r="S451" s="406" t="s">
        <v>14</v>
      </c>
      <c r="T451" s="406" t="s">
        <v>15</v>
      </c>
      <c r="U451" s="406" t="s">
        <v>16</v>
      </c>
      <c r="V451" s="408" t="s">
        <v>17</v>
      </c>
      <c r="X451" s="394" t="s">
        <v>18</v>
      </c>
      <c r="Y451" s="395" t="s">
        <v>19</v>
      </c>
      <c r="Z451" s="394" t="s">
        <v>20</v>
      </c>
    </row>
    <row r="452" spans="1:42" ht="27.75" thickBot="1">
      <c r="B452" s="248">
        <v>1</v>
      </c>
      <c r="C452" s="396">
        <v>45931</v>
      </c>
      <c r="D452" s="397">
        <v>482841.8</v>
      </c>
      <c r="E452" s="397">
        <v>95398.83</v>
      </c>
      <c r="F452" s="398">
        <v>30490469.629999999</v>
      </c>
      <c r="G452" s="397">
        <v>30877912.600000001</v>
      </c>
      <c r="H452" s="397">
        <v>2139142.4700000002</v>
      </c>
      <c r="I452" s="399">
        <v>27</v>
      </c>
      <c r="J452" s="399">
        <v>241</v>
      </c>
      <c r="K452" s="400">
        <v>0</v>
      </c>
      <c r="L452" s="400"/>
      <c r="M452" s="400"/>
      <c r="N452" s="400"/>
      <c r="O452" s="400"/>
      <c r="P452" s="401">
        <f t="shared" ref="P452:Q457" si="37">+F452/I452</f>
        <v>1129276.6529629629</v>
      </c>
      <c r="Q452" s="401">
        <f t="shared" si="37"/>
        <v>128124.11867219918</v>
      </c>
      <c r="R452" s="397">
        <f t="shared" ref="R452:R457" si="38">+F452-G452</f>
        <v>-387442.97000000253</v>
      </c>
      <c r="S452" s="402">
        <f t="shared" ref="S452:S457" si="39">+G452/F452</f>
        <v>1.0127070187734593</v>
      </c>
      <c r="T452" s="403">
        <f t="shared" ref="T452:T457" si="40">(+F452-G452)/F452</f>
        <v>-1.2707018773459363E-2</v>
      </c>
      <c r="U452" s="400">
        <v>0</v>
      </c>
      <c r="V452" s="404">
        <v>26</v>
      </c>
      <c r="X452" s="12" t="s">
        <v>21</v>
      </c>
      <c r="Y452" s="13" t="s">
        <v>22</v>
      </c>
      <c r="Z452" s="12" t="s">
        <v>23</v>
      </c>
    </row>
    <row r="453" spans="1:42" ht="28.15" thickBot="1">
      <c r="B453" s="249">
        <v>2</v>
      </c>
      <c r="C453" s="301">
        <v>45962</v>
      </c>
      <c r="D453" s="302">
        <v>95398.83</v>
      </c>
      <c r="E453" s="302">
        <v>205871.33</v>
      </c>
      <c r="F453" s="302">
        <v>5236553.9000000004</v>
      </c>
      <c r="G453" s="302">
        <v>5126081.4000000004</v>
      </c>
      <c r="H453" s="302">
        <v>336950.52</v>
      </c>
      <c r="I453" s="304">
        <v>18</v>
      </c>
      <c r="J453" s="304">
        <v>32</v>
      </c>
      <c r="K453" s="305">
        <v>0</v>
      </c>
      <c r="L453" s="305"/>
      <c r="M453" s="305"/>
      <c r="N453" s="305"/>
      <c r="O453" s="305"/>
      <c r="P453" s="306">
        <f t="shared" si="37"/>
        <v>290919.66111111111</v>
      </c>
      <c r="Q453" s="306">
        <f t="shared" si="37"/>
        <v>160190.04375000001</v>
      </c>
      <c r="R453" s="302">
        <f t="shared" si="38"/>
        <v>110472.5</v>
      </c>
      <c r="S453" s="307">
        <f t="shared" si="39"/>
        <v>0.97890358772016073</v>
      </c>
      <c r="T453" s="308">
        <f t="shared" si="40"/>
        <v>2.1096412279839227E-2</v>
      </c>
      <c r="U453" s="305">
        <v>0</v>
      </c>
      <c r="V453" s="310">
        <v>401.19</v>
      </c>
      <c r="X453" s="12" t="s">
        <v>24</v>
      </c>
      <c r="Y453" s="13" t="s">
        <v>25</v>
      </c>
      <c r="Z453" s="12" t="s">
        <v>26</v>
      </c>
    </row>
    <row r="454" spans="1:42" ht="27.75" thickBot="1">
      <c r="B454" s="249">
        <v>3</v>
      </c>
      <c r="C454" s="301">
        <v>45992</v>
      </c>
      <c r="D454" s="302">
        <v>205871.33</v>
      </c>
      <c r="E454" s="302">
        <v>14051084.52</v>
      </c>
      <c r="F454" s="303">
        <v>16820156.84</v>
      </c>
      <c r="G454" s="302">
        <v>2974943.65</v>
      </c>
      <c r="H454" s="302">
        <v>6981042.4199999999</v>
      </c>
      <c r="I454" s="304">
        <v>15</v>
      </c>
      <c r="J454" s="304">
        <v>7</v>
      </c>
      <c r="K454" s="305">
        <v>0</v>
      </c>
      <c r="L454" s="305"/>
      <c r="M454" s="305"/>
      <c r="N454" s="305"/>
      <c r="O454" s="305"/>
      <c r="P454" s="306">
        <f t="shared" si="37"/>
        <v>1121343.7893333333</v>
      </c>
      <c r="Q454" s="306">
        <f t="shared" si="37"/>
        <v>424991.95</v>
      </c>
      <c r="R454" s="302">
        <f t="shared" si="38"/>
        <v>13845213.189999999</v>
      </c>
      <c r="S454" s="307">
        <f t="shared" si="39"/>
        <v>0.176867771109321</v>
      </c>
      <c r="T454" s="308">
        <f t="shared" si="40"/>
        <v>0.82313222889067894</v>
      </c>
      <c r="U454" s="305">
        <v>0</v>
      </c>
      <c r="V454" s="309"/>
      <c r="X454" s="12" t="s">
        <v>27</v>
      </c>
      <c r="Y454" s="13" t="s">
        <v>28</v>
      </c>
      <c r="Z454" s="14" t="s">
        <v>29</v>
      </c>
    </row>
    <row r="455" spans="1:42" ht="27.75" thickBot="1">
      <c r="B455" s="249">
        <v>4</v>
      </c>
      <c r="C455" s="301">
        <v>46023</v>
      </c>
      <c r="D455" s="302">
        <v>14051084.52</v>
      </c>
      <c r="E455" s="302">
        <v>9496356.1400000006</v>
      </c>
      <c r="F455" s="302">
        <v>6839941.8499999996</v>
      </c>
      <c r="G455" s="302">
        <v>11394670.23</v>
      </c>
      <c r="H455" s="302">
        <v>8854898.2799999993</v>
      </c>
      <c r="I455" s="304">
        <v>21</v>
      </c>
      <c r="J455" s="304">
        <v>36</v>
      </c>
      <c r="K455" s="305">
        <v>0</v>
      </c>
      <c r="L455" s="305"/>
      <c r="M455" s="305"/>
      <c r="N455" s="305"/>
      <c r="O455" s="305"/>
      <c r="P455" s="306">
        <f t="shared" si="37"/>
        <v>325711.51666666666</v>
      </c>
      <c r="Q455" s="306">
        <f t="shared" si="37"/>
        <v>316518.61749999999</v>
      </c>
      <c r="R455" s="302">
        <f t="shared" si="38"/>
        <v>-4554728.3800000008</v>
      </c>
      <c r="S455" s="307">
        <f t="shared" si="39"/>
        <v>1.6659016231256412</v>
      </c>
      <c r="T455" s="308">
        <f t="shared" si="40"/>
        <v>-0.66590162312564116</v>
      </c>
      <c r="U455" s="305">
        <v>0</v>
      </c>
      <c r="V455" s="310">
        <v>390</v>
      </c>
      <c r="X455" s="12" t="s">
        <v>30</v>
      </c>
      <c r="Y455" s="13" t="s">
        <v>31</v>
      </c>
      <c r="Z455" s="12" t="s">
        <v>32</v>
      </c>
    </row>
    <row r="456" spans="1:42" ht="14.65" thickBot="1">
      <c r="B456" s="249">
        <v>5</v>
      </c>
      <c r="C456" s="301">
        <v>46054</v>
      </c>
      <c r="D456" s="302">
        <v>9496356.1400000006</v>
      </c>
      <c r="E456" s="302">
        <v>2416831.79</v>
      </c>
      <c r="F456" s="302">
        <v>6291870.04</v>
      </c>
      <c r="G456" s="302">
        <v>13371394.390000001</v>
      </c>
      <c r="H456" s="302">
        <v>6546473.29</v>
      </c>
      <c r="I456" s="304">
        <v>16</v>
      </c>
      <c r="J456" s="304">
        <v>32</v>
      </c>
      <c r="K456" s="305"/>
      <c r="L456" s="305"/>
      <c r="M456" s="305"/>
      <c r="N456" s="305"/>
      <c r="O456" s="305"/>
      <c r="P456" s="306">
        <f t="shared" si="37"/>
        <v>393241.8775</v>
      </c>
      <c r="Q456" s="306">
        <f t="shared" si="37"/>
        <v>417856.07468750002</v>
      </c>
      <c r="R456" s="302">
        <f t="shared" si="38"/>
        <v>-7079524.3500000006</v>
      </c>
      <c r="S456" s="307">
        <f t="shared" si="39"/>
        <v>2.1251860424631404</v>
      </c>
      <c r="T456" s="308">
        <f t="shared" si="40"/>
        <v>-1.1251860424631404</v>
      </c>
      <c r="U456" s="305"/>
      <c r="V456" s="303">
        <v>1067.03</v>
      </c>
      <c r="X456" s="12"/>
      <c r="Y456" s="13"/>
      <c r="Z456" s="12"/>
    </row>
    <row r="457" spans="1:42" ht="27.75" thickBot="1">
      <c r="B457" s="250">
        <v>6</v>
      </c>
      <c r="C457" s="301">
        <v>46082</v>
      </c>
      <c r="D457" s="302">
        <v>2416831.79</v>
      </c>
      <c r="E457" s="302">
        <v>870139.41</v>
      </c>
      <c r="F457" s="302">
        <v>14705096.49</v>
      </c>
      <c r="G457" s="302">
        <v>16251788.869999999</v>
      </c>
      <c r="H457" s="302">
        <v>2225549.61</v>
      </c>
      <c r="I457" s="304">
        <v>26</v>
      </c>
      <c r="J457" s="304">
        <v>37</v>
      </c>
      <c r="K457" s="305">
        <v>0</v>
      </c>
      <c r="L457" s="305"/>
      <c r="M457" s="305"/>
      <c r="N457" s="305"/>
      <c r="O457" s="305"/>
      <c r="P457" s="306">
        <f t="shared" si="37"/>
        <v>565580.63423076924</v>
      </c>
      <c r="Q457" s="306">
        <f t="shared" si="37"/>
        <v>439237.53702702699</v>
      </c>
      <c r="R457" s="302">
        <f t="shared" si="38"/>
        <v>-1546692.379999999</v>
      </c>
      <c r="S457" s="307">
        <f t="shared" si="39"/>
        <v>1.1051807025579061</v>
      </c>
      <c r="T457" s="308">
        <f t="shared" si="40"/>
        <v>-0.1051807025579061</v>
      </c>
      <c r="U457" s="305">
        <v>0</v>
      </c>
      <c r="V457" s="309">
        <v>390</v>
      </c>
      <c r="X457" s="12" t="s">
        <v>33</v>
      </c>
      <c r="Y457" s="13" t="s">
        <v>34</v>
      </c>
      <c r="Z457" s="12" t="s">
        <v>35</v>
      </c>
    </row>
    <row r="458" spans="1:42">
      <c r="C458" s="270" t="s">
        <v>36</v>
      </c>
      <c r="D458" s="262"/>
      <c r="E458" s="262"/>
      <c r="F458" s="271">
        <f>SUM(F452:F457)</f>
        <v>80384088.75</v>
      </c>
      <c r="G458" s="271">
        <f>SUM(G452:G457)</f>
        <v>79996791.140000001</v>
      </c>
      <c r="I458" s="2"/>
      <c r="J458" s="2"/>
      <c r="Q458" s="264"/>
      <c r="R458" s="262"/>
      <c r="S458" s="266"/>
      <c r="T458" s="267"/>
    </row>
    <row r="459" spans="1:42" ht="14.65" thickBot="1">
      <c r="D459" s="262"/>
      <c r="E459" s="262"/>
      <c r="I459" s="2"/>
      <c r="J459" s="2"/>
      <c r="P459" s="263"/>
      <c r="Q459" s="264"/>
      <c r="R459" s="262"/>
      <c r="S459" s="266"/>
      <c r="T459" s="267"/>
      <c r="X459" s="268"/>
      <c r="Y459" s="269"/>
      <c r="Z459" s="268"/>
    </row>
    <row r="460" spans="1:42" ht="14.65" thickBot="1">
      <c r="C460" s="16" t="s">
        <v>37</v>
      </c>
      <c r="D460" s="272"/>
      <c r="E460" s="272">
        <f>+G466</f>
        <v>4522613.67</v>
      </c>
      <c r="F460" s="272">
        <f>+G465</f>
        <v>13397348.125</v>
      </c>
      <c r="G460" s="273">
        <f>+AVERAGE(G452:G457)</f>
        <v>13332798.523333333</v>
      </c>
      <c r="I460" s="276">
        <f>+AVERAGE(I452:I457)</f>
        <v>20.5</v>
      </c>
      <c r="J460" s="277">
        <f>+AVERAGE(J452:J457)</f>
        <v>64.166666666666671</v>
      </c>
      <c r="P460" s="311">
        <f>+AVERAGE(P452:P457)</f>
        <v>637679.02196747379</v>
      </c>
      <c r="Q460" s="272">
        <f>+AVERAGE(Q452:Q457)</f>
        <v>314486.39027278771</v>
      </c>
      <c r="R460" s="273">
        <f>+AVERAGE(R452:R457)</f>
        <v>64549.601666666102</v>
      </c>
      <c r="S460" s="9"/>
      <c r="T460" s="9"/>
      <c r="X460" s="268"/>
      <c r="Y460" s="269"/>
      <c r="Z460" s="268"/>
    </row>
    <row r="461" spans="1:42" ht="14.65" thickBot="1">
      <c r="C461" s="6" t="s">
        <v>38</v>
      </c>
      <c r="D461" s="274"/>
      <c r="E461" s="274">
        <f>(E452*0.05)+(E453*0.1)+(E454*0.1)+(E455*0.15)+(E456*0.25)+(E457*0.35)</f>
        <v>3763675.6885000006</v>
      </c>
      <c r="F461" s="274">
        <f>(F452*0.05)+(F453*0.1)+(F454*0.1)+(F455*0.15)+(F456*0.25)+(F457*0.35)</f>
        <v>11475937.114500001</v>
      </c>
      <c r="G461" s="275">
        <f>(G452*0.05)+(G453*0.1)+(G454*0.1)+(G455*0.15)+(G456*0.25)+(G457*0.35)</f>
        <v>13094173.3715</v>
      </c>
      <c r="I461" s="9"/>
      <c r="P461" s="312">
        <f>(P452*0.05)+(P453*0.1)+(P454*0.1)+(P455*0.15)+(P456*0.25)+(P457*0.35)</f>
        <v>542810.59654836182</v>
      </c>
      <c r="Q461" s="274">
        <f>(Q452*0.05)+(Q453*0.1)+(Q454*0.1)+(Q455*0.15)+(Q456*0.25)+(Q457*0.35)</f>
        <v>370599.3545649444</v>
      </c>
      <c r="R461" s="275">
        <f>(R452*0.05)+(R453*0.1)+(R454*0.1)+(R455*0.15)+(R456*0.25)+(R457*0.35)</f>
        <v>-1618236.2569999998</v>
      </c>
      <c r="S461" s="9"/>
      <c r="T461" s="9"/>
    </row>
    <row r="462" spans="1:42" ht="14.65" thickBot="1"/>
    <row r="463" spans="1:42" ht="14.65" thickBot="1">
      <c r="D463" s="283" t="s">
        <v>39</v>
      </c>
      <c r="E463" s="284"/>
      <c r="F463" s="284"/>
      <c r="G463" s="285">
        <v>14479.68</v>
      </c>
    </row>
    <row r="464" spans="1:42" ht="14.65" thickBot="1">
      <c r="G464" s="278"/>
      <c r="H464" s="18" t="s">
        <v>40</v>
      </c>
    </row>
    <row r="465" spans="2:23">
      <c r="D465" s="16" t="s">
        <v>0</v>
      </c>
      <c r="E465" s="286"/>
      <c r="F465" s="286"/>
      <c r="G465" s="409">
        <f>+AVERAGE(F452:F457)</f>
        <v>13397348.125</v>
      </c>
      <c r="H465" s="288"/>
      <c r="I465" s="17" t="s">
        <v>41</v>
      </c>
    </row>
    <row r="466" spans="2:23">
      <c r="D466" s="3" t="s">
        <v>18</v>
      </c>
      <c r="G466" s="279">
        <f>+AVERAGE(E452:E457)</f>
        <v>4522613.67</v>
      </c>
      <c r="H466" s="289"/>
      <c r="I466" t="s">
        <v>42</v>
      </c>
    </row>
    <row r="467" spans="2:23">
      <c r="D467" s="3" t="s">
        <v>43</v>
      </c>
      <c r="G467" s="279">
        <f>(E457*0.5)+(E456*0.3)+(E455*0.2)</f>
        <v>3059390.47</v>
      </c>
      <c r="H467" s="289"/>
    </row>
    <row r="468" spans="2:23">
      <c r="D468" s="3" t="s">
        <v>44</v>
      </c>
      <c r="G468" s="279">
        <f>AVERAGE(E452:E454)</f>
        <v>4784118.2266666666</v>
      </c>
      <c r="H468" s="289"/>
    </row>
    <row r="469" spans="2:23">
      <c r="D469" s="3" t="s">
        <v>351</v>
      </c>
      <c r="G469" s="370">
        <f>(AVERAGE(H455:H457) - AVERAGE(H452:H454)) / MAX(ABS(AVERAGE(H452:H454)), 1000)</f>
        <v>0.86387530851691585</v>
      </c>
      <c r="H469" s="4">
        <f>IF(G469&gt;=1.2,100,IF(G469&gt;=1,80,IF(G469&gt;=0.8,50,IF(G469&gt;=0.5,30,IF(G469&gt;=0.2,0,-20)))))</f>
        <v>50</v>
      </c>
      <c r="I469" s="23" t="str">
        <f>IF(G469&gt;=1.2,"Liquidez Saldo mejora fuerte",IF(G469&gt;=1,"Liquidez Saldo estable",IF(G469&gt;=0.8,"Liquidez Saldo deteriora leve","Liquidez Saldo deteriora fuerte")))</f>
        <v>Liquidez Saldo deteriora leve</v>
      </c>
      <c r="P469" s="501" t="s">
        <v>354</v>
      </c>
      <c r="Q469" s="502"/>
      <c r="R469" s="502"/>
      <c r="S469" s="502"/>
      <c r="T469" s="502"/>
      <c r="U469" s="502"/>
      <c r="V469" s="502"/>
      <c r="W469" s="502"/>
    </row>
    <row r="470" spans="2:23">
      <c r="D470" s="369" t="s">
        <v>352</v>
      </c>
      <c r="E470" s="23"/>
      <c r="F470" s="23"/>
      <c r="G470" s="370">
        <f>(AVERAGE(R455:R457) - AVERAGE(R452:R454)) / MAX(ABS(AVERAGE(R452:R454)), 1000)</f>
        <v>-1.9714555806531151</v>
      </c>
      <c r="H470" s="202">
        <f>IF(G470&gt;=1.2,100,IF(G470&gt;=1,80,IF(G470&gt;=0.8,50,IF(G470&gt;=0.5,30,IF(G470&gt;=0.2,0,-20)))))</f>
        <v>-20</v>
      </c>
      <c r="I470" s="23" t="str">
        <f>IF(G470&gt;=1.2,"Liquidez Flujo mejora fuerte",IF(G470&gt;=1,"Liquidez Flujo estable",IF(G470&gt;=0.8,"Liquidez Flujo deteriora leve","Liquidez Flujo deteriora fuerte")))</f>
        <v>Liquidez Flujo deteriora fuerte</v>
      </c>
      <c r="P470" s="502"/>
      <c r="Q470" s="502"/>
      <c r="R470" s="502"/>
      <c r="S470" s="502"/>
      <c r="T470" s="502"/>
      <c r="U470" s="502"/>
      <c r="V470" s="502"/>
      <c r="W470" s="502"/>
    </row>
    <row r="471" spans="2:23">
      <c r="D471" s="3" t="s">
        <v>45</v>
      </c>
      <c r="G471" s="265">
        <f>(SUM(F452:F457)*G491)/6</f>
        <v>-1889176.8286297852</v>
      </c>
      <c r="H471" s="290"/>
      <c r="I471" t="s">
        <v>46</v>
      </c>
    </row>
    <row r="472" spans="2:23">
      <c r="D472" s="3" t="s">
        <v>47</v>
      </c>
      <c r="G472" s="265">
        <f>(R452*0.05)+(R453*0.1)+(R454*0.1)+(R455*0.15)+(R456*0.25)+(R457*0.35)</f>
        <v>-1618236.2569999998</v>
      </c>
      <c r="H472" s="290"/>
      <c r="I472" t="s">
        <v>48</v>
      </c>
    </row>
    <row r="473" spans="2:23">
      <c r="D473" s="3" t="s">
        <v>49</v>
      </c>
      <c r="F473" s="280" t="str">
        <f>+IF(G473&lt;0.75,"Muy Sano",IF(G473&lt;0.85,"Sano",IF(G473&lt;0.95,"Presionado",IF(G473&gt;0.95,"Riesgoso"))))</f>
        <v>Riesgoso</v>
      </c>
      <c r="G473" s="281">
        <f>(S452*0.05)+(S453*0.1)+(S454*0.1)+(S455*0.15)+(S456*0.25)+(S457*0.35)</f>
        <v>1.3342074868015195</v>
      </c>
      <c r="H473" s="202">
        <f>+IF(G473&lt;0.75,100,IF(G473&lt;0.8,80,IF(G473&lt;0.85,50,IF(G473&lt;0.9,30,IF(G473&lt;0.95,15,IF(G473&lt;1,0,-20))))))</f>
        <v>-20</v>
      </c>
      <c r="I473" t="s">
        <v>50</v>
      </c>
      <c r="S473" t="s">
        <v>355</v>
      </c>
    </row>
    <row r="474" spans="2:23">
      <c r="D474" s="3" t="s">
        <v>21</v>
      </c>
      <c r="G474" s="282">
        <f>+SUM(K452:K457)</f>
        <v>0</v>
      </c>
      <c r="H474" s="289"/>
      <c r="I474" t="s">
        <v>51</v>
      </c>
    </row>
    <row r="475" spans="2:23">
      <c r="D475" s="3" t="s">
        <v>52</v>
      </c>
      <c r="G475" s="15">
        <f>AVERAGE(E452:E457)/AVERAGE(F452:F457)</f>
        <v>0.3375752893634687</v>
      </c>
      <c r="H475" s="202">
        <f>+IF(G475&gt;15%,100,IF(G475&gt;10%,80,IF(G475&gt;5%,60,IF(G475&gt;3%,50,IF(G475&gt;1.5%,20,IF(G475&lt;1.5%,10,IF(G475=0,0,-10)))))))</f>
        <v>100</v>
      </c>
      <c r="I475" t="s">
        <v>53</v>
      </c>
    </row>
    <row r="476" spans="2:23" ht="14.65" thickBot="1">
      <c r="D476" s="6" t="s">
        <v>54</v>
      </c>
      <c r="E476" s="291"/>
      <c r="F476" s="291"/>
      <c r="G476" s="292">
        <f>1 - (STDEV(F452:F457)/AVERAGE(F452:F457))</f>
        <v>0.27965089707631285</v>
      </c>
      <c r="H476" s="293">
        <f>MAX(0,MIN(100,G476*100))</f>
        <v>27.965089707631286</v>
      </c>
      <c r="I476" t="s">
        <v>55</v>
      </c>
    </row>
    <row r="477" spans="2:23" ht="14.65" thickBot="1">
      <c r="H477" s="18" t="s">
        <v>40</v>
      </c>
    </row>
    <row r="478" spans="2:23">
      <c r="B478" s="503"/>
      <c r="C478" s="504"/>
      <c r="D478" s="324"/>
      <c r="E478" s="324"/>
      <c r="F478" s="286"/>
      <c r="G478" s="325"/>
      <c r="H478" s="325"/>
    </row>
    <row r="479" spans="2:23">
      <c r="B479" s="489"/>
      <c r="C479" s="490"/>
      <c r="F479" s="8"/>
      <c r="G479" s="294"/>
      <c r="H479" s="294"/>
    </row>
    <row r="480" spans="2:23">
      <c r="B480" s="493" t="s">
        <v>56</v>
      </c>
      <c r="C480" s="494"/>
      <c r="D480" t="s">
        <v>57</v>
      </c>
      <c r="F480" s="8"/>
      <c r="G480" s="294">
        <f>(SUM(E452:E457)-MAX(E452:E457)-MIN(E452:E457))/(COUNT(E452:E457)-2)</f>
        <v>3247299.6675</v>
      </c>
      <c r="H480" s="295"/>
      <c r="I480" t="s">
        <v>58</v>
      </c>
    </row>
    <row r="481" spans="2:21">
      <c r="B481" s="493" t="s">
        <v>56</v>
      </c>
      <c r="C481" s="494"/>
      <c r="D481" t="s">
        <v>59</v>
      </c>
      <c r="F481" s="8"/>
      <c r="G481" s="294">
        <f>+G480/G463</f>
        <v>224.26598291536828</v>
      </c>
      <c r="H481" s="295">
        <f>IF(G481&lt;0.5,0,IF(G481&lt;1,20,IF(G481&lt;2,50,IF(G481&lt;3,70,IF(G481&lt;5,90,100)))))</f>
        <v>100</v>
      </c>
      <c r="I481" t="s">
        <v>60</v>
      </c>
    </row>
    <row r="482" spans="2:21">
      <c r="B482" s="487" t="s">
        <v>61</v>
      </c>
      <c r="C482" s="488"/>
      <c r="D482" t="s">
        <v>30</v>
      </c>
      <c r="G482" s="294">
        <f>_xlfn.STDEV.S(F452:F457)/AVERAGE(F452:F457)</f>
        <v>0.72034910292368715</v>
      </c>
      <c r="H482" s="294">
        <f>MAX(0,100-(G482*40))</f>
        <v>71.186035883052512</v>
      </c>
      <c r="I482" s="17" t="s">
        <v>62</v>
      </c>
    </row>
    <row r="483" spans="2:21">
      <c r="B483" s="505" t="s">
        <v>63</v>
      </c>
      <c r="C483" s="506"/>
      <c r="D483" t="s">
        <v>64</v>
      </c>
      <c r="G483" s="316">
        <f>((E457+E456+E455)/3)/((E452+E453+E454)/3)</f>
        <v>0.89067805422991397</v>
      </c>
      <c r="H483" s="374" t="str">
        <f>IF(G483&gt;=1.2,"liquidez mejora fuerte",IF(G483&gt;=1,"liquidez estable",IF(G483&gt;=0.8,"liquidez deteriora leve","liquidez deteriora fuerte")))</f>
        <v>liquidez deteriora leve</v>
      </c>
      <c r="I483" t="s">
        <v>65</v>
      </c>
    </row>
    <row r="484" spans="2:21">
      <c r="B484" s="489"/>
      <c r="C484" s="490"/>
      <c r="G484" s="294"/>
      <c r="H484" s="294"/>
    </row>
    <row r="485" spans="2:21">
      <c r="B485" s="487" t="s">
        <v>61</v>
      </c>
      <c r="C485" s="488"/>
      <c r="D485" t="s">
        <v>66</v>
      </c>
      <c r="G485" s="294">
        <f>MIN(3,STDEV(R452:R457)/MAX(ABS(AVERAGE(R452:R457)),1000))</f>
        <v>3</v>
      </c>
      <c r="H485" s="294">
        <f>MAX(0,100-(G485*30))</f>
        <v>10</v>
      </c>
      <c r="I485" t="s">
        <v>67</v>
      </c>
      <c r="R485" t="s">
        <v>68</v>
      </c>
    </row>
    <row r="486" spans="2:21">
      <c r="B486" s="489"/>
      <c r="C486" s="490"/>
      <c r="G486" s="294"/>
      <c r="H486" s="294"/>
    </row>
    <row r="487" spans="2:21">
      <c r="B487" s="491" t="s">
        <v>69</v>
      </c>
      <c r="C487" s="492"/>
      <c r="D487" t="s">
        <v>70</v>
      </c>
      <c r="F487" s="7"/>
      <c r="G487" s="294">
        <f>G471-(STDEV(R452:R457)*0.25)</f>
        <v>-3709495.198979211</v>
      </c>
      <c r="H487" s="294"/>
      <c r="I487" t="s">
        <v>71</v>
      </c>
    </row>
    <row r="488" spans="2:21">
      <c r="B488" s="491" t="s">
        <v>69</v>
      </c>
      <c r="C488" s="492"/>
      <c r="D488" t="s">
        <v>72</v>
      </c>
      <c r="F488" s="7"/>
      <c r="G488" s="294">
        <f>+G487/G463</f>
        <v>-256.18626923932095</v>
      </c>
      <c r="H488" s="296"/>
      <c r="I488" t="s">
        <v>73</v>
      </c>
      <c r="U488" t="s">
        <v>353</v>
      </c>
    </row>
    <row r="489" spans="2:21">
      <c r="B489" s="491" t="s">
        <v>69</v>
      </c>
      <c r="C489" s="492"/>
      <c r="D489" t="s">
        <v>74</v>
      </c>
      <c r="G489" s="297">
        <f>+G488/P494</f>
        <v>-93.158643359753071</v>
      </c>
      <c r="H489" s="294">
        <f>IF((G488/P494)&gt;=1.5,100,IF((G488/P494)&gt;=1.2,80,IF((G488/P494)&gt;=1,60,IF((G488/P494)&gt;=0.8,40,0))))</f>
        <v>0</v>
      </c>
    </row>
    <row r="490" spans="2:21">
      <c r="B490" s="493" t="s">
        <v>56</v>
      </c>
      <c r="C490" s="494"/>
      <c r="D490" t="s">
        <v>75</v>
      </c>
      <c r="F490" s="7"/>
      <c r="G490" s="294">
        <f>SUM(F452:F457)/SUM(G452:G457)</f>
        <v>1.0048414143177593</v>
      </c>
      <c r="H490" s="371">
        <f>IF(G490&gt;=1.1,100,IF(G490&gt;=1.05,80,IF(G490&gt;=1,70,IF(G490&gt;=0.95,50,IF(G490&gt;=0.85,35,10)))))</f>
        <v>70</v>
      </c>
      <c r="I490" t="s">
        <v>76</v>
      </c>
      <c r="Q490" s="23" t="s">
        <v>359</v>
      </c>
    </row>
    <row r="491" spans="2:21" ht="14.65" thickBot="1">
      <c r="B491" s="495" t="s">
        <v>69</v>
      </c>
      <c r="C491" s="496"/>
      <c r="D491" s="291" t="s">
        <v>15</v>
      </c>
      <c r="E491" s="291"/>
      <c r="F491" s="298"/>
      <c r="G491" s="299">
        <f>+(F461-G461)/F461</f>
        <v>-0.141011251704694</v>
      </c>
      <c r="H491" s="300">
        <f>IF(G491&gt;=0.2,100,
IF(G491&gt;=0.1,80,
IF(G491&gt;=0.05,60,
IF(G491&gt;=0,40,
IF(G491&gt;=-0.05,20,0)))))</f>
        <v>0</v>
      </c>
      <c r="I491" t="s">
        <v>77</v>
      </c>
    </row>
    <row r="492" spans="2:21" ht="14.65" thickBot="1"/>
    <row r="493" spans="2:21">
      <c r="B493" s="497" t="s">
        <v>78</v>
      </c>
      <c r="C493" s="498"/>
      <c r="D493" s="189" t="s">
        <v>79</v>
      </c>
      <c r="E493" s="189" t="s">
        <v>40</v>
      </c>
      <c r="F493" s="183"/>
      <c r="I493" s="253" t="s">
        <v>80</v>
      </c>
      <c r="J493" s="375">
        <v>3</v>
      </c>
      <c r="K493" s="256" t="s">
        <v>81</v>
      </c>
      <c r="L493" s="256"/>
      <c r="M493" s="256"/>
      <c r="N493" s="256"/>
      <c r="O493" s="256"/>
      <c r="P493" s="254" t="s">
        <v>82</v>
      </c>
      <c r="Q493" s="254" t="s">
        <v>83</v>
      </c>
    </row>
    <row r="494" spans="2:21">
      <c r="B494" s="184"/>
      <c r="C494" s="182" t="s">
        <v>84</v>
      </c>
      <c r="D494" s="185">
        <v>0.6</v>
      </c>
      <c r="E494" s="15">
        <f>+H489</f>
        <v>0</v>
      </c>
      <c r="F494" s="181"/>
      <c r="I494" s="24" t="s">
        <v>85</v>
      </c>
      <c r="J494" s="4">
        <v>2.75</v>
      </c>
      <c r="K494" s="256">
        <v>36</v>
      </c>
      <c r="L494" s="256"/>
      <c r="M494" s="256"/>
      <c r="N494" s="256"/>
      <c r="O494" s="256"/>
      <c r="P494" s="254">
        <f>+IF(K494&lt;=24,J493,IF(K494&lt;=36,J494,IF(K494&lt;=48,J495,IF(K494&lt;=60,J496,"2"))))</f>
        <v>2.75</v>
      </c>
      <c r="Q494" s="255">
        <f>+IF(K494&lt;24,30.2%,IF(K494&lt;36,26%,IF(K494&lt;48,24.55%,IF(K494&lt;60,23.82%,"0%"))))</f>
        <v>0.2455</v>
      </c>
    </row>
    <row r="495" spans="2:21">
      <c r="B495" s="184"/>
      <c r="C495" s="182" t="s">
        <v>86</v>
      </c>
      <c r="D495" s="185">
        <v>0.25</v>
      </c>
      <c r="E495" s="15">
        <f>+H473</f>
        <v>-20</v>
      </c>
      <c r="F495" s="181"/>
      <c r="I495" s="24" t="s">
        <v>87</v>
      </c>
      <c r="J495" s="4">
        <v>2.5</v>
      </c>
    </row>
    <row r="496" spans="2:21" ht="14.65" thickBot="1">
      <c r="B496" s="184"/>
      <c r="C496" s="182" t="s">
        <v>15</v>
      </c>
      <c r="D496" s="185">
        <v>0.15</v>
      </c>
      <c r="E496" s="15">
        <f>+H491</f>
        <v>0</v>
      </c>
      <c r="F496" s="181"/>
      <c r="I496" s="50" t="s">
        <v>88</v>
      </c>
      <c r="J496" s="317">
        <v>2.25</v>
      </c>
    </row>
    <row r="497" spans="2:16" ht="14.65" thickBot="1">
      <c r="B497" s="186"/>
      <c r="C497" s="187"/>
      <c r="D497" s="187"/>
      <c r="E497" s="188" t="s">
        <v>89</v>
      </c>
      <c r="F497" s="195">
        <f>E494*D494 + E495*D495 + E496*D496</f>
        <v>-5</v>
      </c>
    </row>
    <row r="498" spans="2:16" ht="14.65" thickBot="1">
      <c r="B498" s="499" t="s">
        <v>90</v>
      </c>
      <c r="C498" s="500"/>
      <c r="D498" s="189" t="s">
        <v>79</v>
      </c>
      <c r="E498" s="189" t="s">
        <v>40</v>
      </c>
      <c r="F498" s="183"/>
      <c r="H498" s="9"/>
      <c r="I498" s="313" t="s">
        <v>91</v>
      </c>
      <c r="J498" s="314"/>
      <c r="K498" s="315" t="s">
        <v>92</v>
      </c>
      <c r="L498" s="410"/>
      <c r="M498" s="410"/>
      <c r="N498" s="410"/>
      <c r="O498" s="410"/>
      <c r="P498" s="314"/>
    </row>
    <row r="499" spans="2:16">
      <c r="B499" s="184"/>
      <c r="C499" s="182" t="s">
        <v>93</v>
      </c>
      <c r="D499" s="190">
        <v>0.5</v>
      </c>
      <c r="E499" s="15">
        <f>+H481</f>
        <v>100</v>
      </c>
      <c r="F499" s="181"/>
      <c r="H499" s="182" t="s">
        <v>94</v>
      </c>
      <c r="I499" s="476">
        <f>+G466/P494</f>
        <v>1644586.7890909091</v>
      </c>
      <c r="J499" s="477"/>
      <c r="K499" s="478">
        <f>ABS(PV(Q494/12,K494,I499))</f>
        <v>41611707.255450115</v>
      </c>
      <c r="L499" s="479"/>
      <c r="M499" s="479"/>
      <c r="N499" s="479"/>
      <c r="O499" s="479"/>
      <c r="P499" s="480"/>
    </row>
    <row r="500" spans="2:16">
      <c r="B500" s="184"/>
      <c r="C500" s="182" t="s">
        <v>95</v>
      </c>
      <c r="D500" s="190">
        <v>0.3</v>
      </c>
      <c r="E500" s="15">
        <f>+H490</f>
        <v>70</v>
      </c>
      <c r="F500" s="181"/>
      <c r="H500" s="182" t="s">
        <v>96</v>
      </c>
      <c r="I500" s="476">
        <f>+G465/P494</f>
        <v>4871762.9545454541</v>
      </c>
      <c r="J500" s="477"/>
      <c r="K500" s="478">
        <f>ABS(PV(Q494/12,K494,I500))</f>
        <v>123266449.19393554</v>
      </c>
      <c r="L500" s="479"/>
      <c r="M500" s="479"/>
      <c r="N500" s="479"/>
      <c r="O500" s="479"/>
      <c r="P500" s="480"/>
    </row>
    <row r="501" spans="2:16" ht="14.65" thickBot="1">
      <c r="B501" s="184"/>
      <c r="C501" s="8" t="s">
        <v>97</v>
      </c>
      <c r="D501" s="185">
        <v>0.2</v>
      </c>
      <c r="E501" s="15">
        <f>+H475</f>
        <v>100</v>
      </c>
      <c r="F501" s="181"/>
      <c r="H501" s="257" t="s">
        <v>98</v>
      </c>
      <c r="I501" s="481">
        <f>+G467/P494</f>
        <v>1112505.6254545455</v>
      </c>
      <c r="J501" s="482"/>
      <c r="K501" s="483">
        <f>ABS(PV(Q494/12,K494,I501))</f>
        <v>28148869.195310667</v>
      </c>
      <c r="L501" s="484"/>
      <c r="M501" s="484"/>
      <c r="N501" s="484"/>
      <c r="O501" s="484"/>
      <c r="P501" s="485"/>
    </row>
    <row r="502" spans="2:16" ht="14.65" thickBot="1">
      <c r="B502" s="191"/>
      <c r="C502" s="182"/>
      <c r="D502" s="187"/>
      <c r="E502" s="188" t="s">
        <v>89</v>
      </c>
      <c r="F502" s="195">
        <f xml:space="preserve"> E499*D499 + E500*D500+E501*D501</f>
        <v>91</v>
      </c>
    </row>
    <row r="503" spans="2:16">
      <c r="B503" s="196" t="s">
        <v>99</v>
      </c>
      <c r="C503" s="197"/>
      <c r="D503" s="189" t="s">
        <v>79</v>
      </c>
      <c r="E503" s="189" t="s">
        <v>40</v>
      </c>
      <c r="F503" s="183"/>
      <c r="I503" s="486" t="s">
        <v>100</v>
      </c>
      <c r="J503" s="486"/>
      <c r="P503" s="8"/>
    </row>
    <row r="504" spans="2:16">
      <c r="B504" s="184"/>
      <c r="C504" s="182" t="s">
        <v>101</v>
      </c>
      <c r="D504" s="7">
        <v>0.6</v>
      </c>
      <c r="E504" s="15">
        <f>+H485</f>
        <v>10</v>
      </c>
      <c r="F504" s="181"/>
      <c r="I504" t="s">
        <v>102</v>
      </c>
      <c r="J504" t="s">
        <v>103</v>
      </c>
    </row>
    <row r="505" spans="2:16" ht="14.65" thickBot="1">
      <c r="B505" s="184"/>
      <c r="C505" s="182" t="s">
        <v>104</v>
      </c>
      <c r="D505" s="7">
        <v>0.4</v>
      </c>
      <c r="E505" s="201">
        <f>+H476</f>
        <v>27.965089707631286</v>
      </c>
      <c r="F505" s="181"/>
      <c r="I505" s="8" t="s">
        <v>105</v>
      </c>
      <c r="J505" t="s">
        <v>106</v>
      </c>
    </row>
    <row r="506" spans="2:16" ht="14.65" thickBot="1">
      <c r="B506" s="192"/>
      <c r="E506" s="193" t="s">
        <v>89</v>
      </c>
      <c r="F506" s="195">
        <f xml:space="preserve"> E504*D504 + E505*D505</f>
        <v>17.186035883052515</v>
      </c>
      <c r="I506" s="8" t="s">
        <v>107</v>
      </c>
      <c r="J506" t="s">
        <v>108</v>
      </c>
    </row>
    <row r="507" spans="2:16">
      <c r="B507" s="198" t="s">
        <v>109</v>
      </c>
      <c r="C507" s="199"/>
      <c r="D507" s="189" t="s">
        <v>79</v>
      </c>
      <c r="E507" s="189" t="s">
        <v>40</v>
      </c>
      <c r="F507" s="183"/>
      <c r="I507" s="8" t="s">
        <v>110</v>
      </c>
      <c r="J507" t="s">
        <v>111</v>
      </c>
    </row>
    <row r="508" spans="2:16" ht="14.65" thickBot="1">
      <c r="B508" s="194"/>
      <c r="C508" s="182" t="s">
        <v>112</v>
      </c>
      <c r="D508" s="7">
        <v>1</v>
      </c>
      <c r="E508" s="2">
        <f>+H469</f>
        <v>50</v>
      </c>
      <c r="F508" s="181"/>
      <c r="I508" s="8" t="s">
        <v>113</v>
      </c>
      <c r="J508" t="s">
        <v>114</v>
      </c>
    </row>
    <row r="509" spans="2:16" ht="14.65" thickBot="1">
      <c r="B509" s="186"/>
      <c r="C509" s="187"/>
      <c r="D509" s="187"/>
      <c r="E509" s="188" t="s">
        <v>89</v>
      </c>
      <c r="F509" s="195">
        <f>+ E508*D508</f>
        <v>50</v>
      </c>
      <c r="I509" s="8" t="s">
        <v>115</v>
      </c>
      <c r="J509" t="s">
        <v>106</v>
      </c>
    </row>
    <row r="510" spans="2:16" ht="14.65" thickBot="1">
      <c r="I510" s="8" t="s">
        <v>350</v>
      </c>
      <c r="J510" t="s">
        <v>108</v>
      </c>
    </row>
    <row r="511" spans="2:16" ht="14.65" thickBot="1">
      <c r="E511" s="180" t="s">
        <v>116</v>
      </c>
      <c r="F511" s="200">
        <f>(F497*0.4)+
(F502*0.3)+
(F506*0.2)+
(F509*0.1)</f>
        <v>33.737207176610504</v>
      </c>
    </row>
    <row r="512" spans="2:16">
      <c r="E512" t="s">
        <v>117</v>
      </c>
      <c r="F512" s="327">
        <f>MIN(1000,MAX(0,F511*10))</f>
        <v>337.37207176610502</v>
      </c>
    </row>
    <row r="514" spans="1:42">
      <c r="D514" s="8"/>
      <c r="E514" s="5" t="s">
        <v>40</v>
      </c>
      <c r="F514" s="5" t="s">
        <v>118</v>
      </c>
    </row>
    <row r="515" spans="1:42">
      <c r="E515" s="11" t="s">
        <v>119</v>
      </c>
      <c r="F515" s="11" t="s">
        <v>120</v>
      </c>
    </row>
    <row r="516" spans="1:42">
      <c r="E516" s="11" t="s">
        <v>121</v>
      </c>
      <c r="F516" s="11" t="s">
        <v>122</v>
      </c>
    </row>
    <row r="517" spans="1:42">
      <c r="E517" s="11" t="s">
        <v>123</v>
      </c>
      <c r="F517" s="11" t="s">
        <v>124</v>
      </c>
    </row>
    <row r="518" spans="1:42">
      <c r="E518" s="11" t="s">
        <v>125</v>
      </c>
      <c r="F518" s="11" t="s">
        <v>126</v>
      </c>
    </row>
    <row r="519" spans="1:42">
      <c r="E519" s="11" t="s">
        <v>127</v>
      </c>
      <c r="F519" s="11" t="s">
        <v>128</v>
      </c>
    </row>
    <row r="520" spans="1:42" ht="14.65" thickBot="1">
      <c r="E520" s="11" t="s">
        <v>129</v>
      </c>
      <c r="F520" s="11" t="s">
        <v>130</v>
      </c>
    </row>
    <row r="521" spans="1:42" ht="27" thickBot="1">
      <c r="A521" s="453" t="s">
        <v>399</v>
      </c>
      <c r="B521" s="454"/>
      <c r="C521" s="454"/>
      <c r="D521" s="454"/>
      <c r="E521" s="454"/>
      <c r="F521" s="388"/>
      <c r="G521" s="388"/>
      <c r="H521" s="389"/>
      <c r="I521" s="386"/>
      <c r="J521" s="386"/>
      <c r="K521" s="386"/>
      <c r="L521" s="386"/>
      <c r="M521" s="386"/>
      <c r="N521" s="386"/>
      <c r="O521" s="386"/>
      <c r="P521" s="386"/>
      <c r="Q521" s="386"/>
      <c r="R521" s="386"/>
      <c r="S521" s="386"/>
      <c r="T521" s="386"/>
      <c r="U521" s="386"/>
      <c r="V521" s="386"/>
      <c r="W521" s="386"/>
      <c r="X521" s="386"/>
      <c r="Y521" s="386"/>
      <c r="Z521" s="386"/>
      <c r="AA521" s="386"/>
      <c r="AB521" s="386"/>
      <c r="AC521" s="386"/>
      <c r="AD521" s="386"/>
      <c r="AE521" s="386"/>
      <c r="AF521" s="386"/>
      <c r="AG521" s="386"/>
      <c r="AH521" s="386"/>
      <c r="AI521" s="386"/>
      <c r="AJ521" s="386"/>
      <c r="AK521" s="386"/>
      <c r="AL521" s="386"/>
      <c r="AM521" s="386"/>
      <c r="AN521" s="386"/>
      <c r="AO521" s="386"/>
      <c r="AP521" s="390"/>
    </row>
    <row r="522" spans="1:42" ht="42.75" customHeight="1" thickBot="1">
      <c r="B522" s="405" t="s">
        <v>1</v>
      </c>
      <c r="C522" s="406" t="s">
        <v>2</v>
      </c>
      <c r="D522" s="435" t="s">
        <v>3</v>
      </c>
      <c r="E522" s="435" t="s">
        <v>4</v>
      </c>
      <c r="F522" s="435" t="s">
        <v>5</v>
      </c>
      <c r="G522" s="435" t="s">
        <v>6</v>
      </c>
      <c r="H522" s="435" t="s">
        <v>7</v>
      </c>
      <c r="I522" s="436" t="s">
        <v>388</v>
      </c>
      <c r="J522" s="436" t="s">
        <v>385</v>
      </c>
      <c r="K522" s="406" t="s">
        <v>386</v>
      </c>
      <c r="L522" s="406" t="s">
        <v>391</v>
      </c>
      <c r="M522" s="406" t="s">
        <v>392</v>
      </c>
      <c r="N522" s="406" t="s">
        <v>389</v>
      </c>
      <c r="O522" s="406" t="s">
        <v>390</v>
      </c>
      <c r="P522" s="406" t="s">
        <v>11</v>
      </c>
      <c r="Q522" s="406" t="s">
        <v>12</v>
      </c>
      <c r="R522" s="406" t="s">
        <v>13</v>
      </c>
      <c r="S522" s="406" t="s">
        <v>14</v>
      </c>
      <c r="T522" s="406" t="s">
        <v>15</v>
      </c>
      <c r="U522" s="406" t="s">
        <v>16</v>
      </c>
      <c r="V522" s="408" t="s">
        <v>17</v>
      </c>
      <c r="X522" s="394" t="s">
        <v>18</v>
      </c>
      <c r="Y522" s="395" t="s">
        <v>19</v>
      </c>
      <c r="Z522" s="394" t="s">
        <v>20</v>
      </c>
    </row>
    <row r="523" spans="1:42" ht="27.75" thickBot="1">
      <c r="B523" s="248">
        <v>1</v>
      </c>
      <c r="C523" s="431" t="s">
        <v>379</v>
      </c>
      <c r="D523" s="425">
        <v>48719.99</v>
      </c>
      <c r="E523" s="425">
        <v>36913.730000000003</v>
      </c>
      <c r="F523" s="425">
        <v>1526542.85</v>
      </c>
      <c r="G523" s="425">
        <v>1538349.11</v>
      </c>
      <c r="H523" s="425">
        <v>51384.93</v>
      </c>
      <c r="I523" s="425">
        <v>36</v>
      </c>
      <c r="J523" s="425">
        <v>112</v>
      </c>
      <c r="K523" s="433">
        <v>0</v>
      </c>
      <c r="L523" s="400"/>
      <c r="M523" s="400"/>
      <c r="N523" s="400"/>
      <c r="O523" s="400"/>
      <c r="P523" s="401">
        <f t="shared" ref="P523:P528" si="41">+F523/I523</f>
        <v>42403.968055555561</v>
      </c>
      <c r="Q523" s="401">
        <f t="shared" ref="Q523:Q528" si="42">+G523/J523</f>
        <v>13735.259910714287</v>
      </c>
      <c r="R523" s="397">
        <f t="shared" ref="R523:R528" si="43">+F523-G523</f>
        <v>-11806.260000000009</v>
      </c>
      <c r="S523" s="402">
        <f t="shared" ref="S523:S528" si="44">+G523/F523</f>
        <v>1.0077339853250762</v>
      </c>
      <c r="T523" s="403">
        <f t="shared" ref="T523:T528" si="45">(+F523-G523)/F523</f>
        <v>-7.733985325076206E-3</v>
      </c>
      <c r="U523" s="400">
        <v>0</v>
      </c>
      <c r="V523" s="404">
        <v>26</v>
      </c>
      <c r="X523" s="12" t="s">
        <v>21</v>
      </c>
      <c r="Y523" s="13" t="s">
        <v>22</v>
      </c>
      <c r="Z523" s="12" t="s">
        <v>23</v>
      </c>
    </row>
    <row r="524" spans="1:42" ht="28.15" thickBot="1">
      <c r="B524" s="249">
        <v>2</v>
      </c>
      <c r="C524" s="432" t="s">
        <v>380</v>
      </c>
      <c r="D524" s="425">
        <v>36913.730000000003</v>
      </c>
      <c r="E524" s="425">
        <v>98235.21</v>
      </c>
      <c r="F524" s="425">
        <v>1716921.24</v>
      </c>
      <c r="G524" s="425">
        <v>1655599.76</v>
      </c>
      <c r="H524" s="425">
        <v>65266.25</v>
      </c>
      <c r="I524" s="425">
        <v>21</v>
      </c>
      <c r="J524" s="425">
        <v>91</v>
      </c>
      <c r="K524" s="434">
        <v>0</v>
      </c>
      <c r="L524" s="305"/>
      <c r="M524" s="305"/>
      <c r="N524" s="305"/>
      <c r="O524" s="305"/>
      <c r="P524" s="306">
        <f t="shared" si="41"/>
        <v>81758.154285714292</v>
      </c>
      <c r="Q524" s="306">
        <f t="shared" si="42"/>
        <v>18193.403956043956</v>
      </c>
      <c r="R524" s="302">
        <f t="shared" si="43"/>
        <v>61321.479999999981</v>
      </c>
      <c r="S524" s="307">
        <f t="shared" si="44"/>
        <v>0.96428404601716033</v>
      </c>
      <c r="T524" s="308">
        <f t="shared" si="45"/>
        <v>3.5715953982839645E-2</v>
      </c>
      <c r="U524" s="305">
        <v>0</v>
      </c>
      <c r="V524" s="310">
        <v>401.19</v>
      </c>
      <c r="X524" s="12" t="s">
        <v>24</v>
      </c>
      <c r="Y524" s="13" t="s">
        <v>25</v>
      </c>
      <c r="Z524" s="12" t="s">
        <v>26</v>
      </c>
    </row>
    <row r="525" spans="1:42" ht="27.75" thickBot="1">
      <c r="B525" s="249">
        <v>3</v>
      </c>
      <c r="C525" s="432" t="s">
        <v>381</v>
      </c>
      <c r="D525" s="425">
        <v>98235.21</v>
      </c>
      <c r="E525" s="425">
        <v>17167.900000000001</v>
      </c>
      <c r="F525" s="425">
        <v>1401722.1</v>
      </c>
      <c r="G525" s="425">
        <v>1482789.49</v>
      </c>
      <c r="H525" s="425">
        <v>36899.11</v>
      </c>
      <c r="I525" s="425">
        <v>32</v>
      </c>
      <c r="J525" s="425">
        <v>113</v>
      </c>
      <c r="K525" s="434">
        <v>0</v>
      </c>
      <c r="L525" s="305"/>
      <c r="M525" s="305"/>
      <c r="N525" s="305"/>
      <c r="O525" s="305"/>
      <c r="P525" s="306">
        <f t="shared" si="41"/>
        <v>43803.815625000003</v>
      </c>
      <c r="Q525" s="306">
        <f t="shared" si="42"/>
        <v>13122.030884955751</v>
      </c>
      <c r="R525" s="302">
        <f t="shared" si="43"/>
        <v>-81067.389999999898</v>
      </c>
      <c r="S525" s="307">
        <f t="shared" si="44"/>
        <v>1.0578341384501249</v>
      </c>
      <c r="T525" s="308">
        <f t="shared" si="45"/>
        <v>-5.7834138450124951E-2</v>
      </c>
      <c r="U525" s="305">
        <v>0</v>
      </c>
      <c r="V525" s="309"/>
      <c r="X525" s="12" t="s">
        <v>27</v>
      </c>
      <c r="Y525" s="13" t="s">
        <v>28</v>
      </c>
      <c r="Z525" s="14" t="s">
        <v>29</v>
      </c>
    </row>
    <row r="526" spans="1:42" ht="27.75" thickBot="1">
      <c r="B526" s="249">
        <v>4</v>
      </c>
      <c r="C526" s="432" t="s">
        <v>382</v>
      </c>
      <c r="D526" s="425">
        <v>17167.900000000001</v>
      </c>
      <c r="E526" s="425">
        <v>4242.13</v>
      </c>
      <c r="F526" s="425">
        <v>1774492.12</v>
      </c>
      <c r="G526" s="425">
        <v>1787417.89</v>
      </c>
      <c r="H526" s="425">
        <v>18464.93</v>
      </c>
      <c r="I526" s="425">
        <v>34</v>
      </c>
      <c r="J526" s="425">
        <v>109</v>
      </c>
      <c r="K526" s="434">
        <v>0</v>
      </c>
      <c r="L526" s="305"/>
      <c r="M526" s="305"/>
      <c r="N526" s="305"/>
      <c r="O526" s="305"/>
      <c r="P526" s="306">
        <f t="shared" si="41"/>
        <v>52190.944705882357</v>
      </c>
      <c r="Q526" s="306">
        <f t="shared" si="42"/>
        <v>16398.329266055043</v>
      </c>
      <c r="R526" s="302">
        <f t="shared" si="43"/>
        <v>-12925.769999999786</v>
      </c>
      <c r="S526" s="307">
        <f t="shared" si="44"/>
        <v>1.007284208171068</v>
      </c>
      <c r="T526" s="308">
        <f t="shared" si="45"/>
        <v>-7.2842081710680039E-3</v>
      </c>
      <c r="U526" s="305">
        <v>0</v>
      </c>
      <c r="V526" s="310">
        <v>390</v>
      </c>
      <c r="X526" s="12" t="s">
        <v>30</v>
      </c>
      <c r="Y526" s="13" t="s">
        <v>31</v>
      </c>
      <c r="Z526" s="12" t="s">
        <v>32</v>
      </c>
    </row>
    <row r="527" spans="1:42" ht="14.65" thickBot="1">
      <c r="B527" s="249">
        <v>5</v>
      </c>
      <c r="C527" s="432" t="s">
        <v>383</v>
      </c>
      <c r="D527" s="425">
        <v>4242.13</v>
      </c>
      <c r="E527" s="425">
        <v>35719.199999999997</v>
      </c>
      <c r="F527" s="425">
        <v>1899142.68</v>
      </c>
      <c r="G527" s="425">
        <v>1867665.61</v>
      </c>
      <c r="H527" s="425">
        <v>21138.22</v>
      </c>
      <c r="I527" s="425">
        <v>45</v>
      </c>
      <c r="J527" s="425">
        <v>141</v>
      </c>
      <c r="K527" s="434"/>
      <c r="L527" s="305"/>
      <c r="M527" s="305"/>
      <c r="N527" s="305"/>
      <c r="O527" s="305"/>
      <c r="P527" s="306">
        <f t="shared" si="41"/>
        <v>42203.170666666665</v>
      </c>
      <c r="Q527" s="306">
        <f t="shared" si="42"/>
        <v>13245.855390070923</v>
      </c>
      <c r="R527" s="302">
        <f t="shared" si="43"/>
        <v>31477.069999999832</v>
      </c>
      <c r="S527" s="307">
        <f t="shared" si="44"/>
        <v>0.9834256423535277</v>
      </c>
      <c r="T527" s="308">
        <f t="shared" si="45"/>
        <v>1.6574357646472266E-2</v>
      </c>
      <c r="U527" s="305"/>
      <c r="V527" s="303">
        <v>1067.03</v>
      </c>
      <c r="X527" s="12"/>
      <c r="Y527" s="13"/>
      <c r="Z527" s="12"/>
    </row>
    <row r="528" spans="1:42" ht="27.75" thickBot="1">
      <c r="B528" s="250">
        <v>6</v>
      </c>
      <c r="C528" s="432" t="s">
        <v>384</v>
      </c>
      <c r="D528" s="425">
        <v>35719.199999999997</v>
      </c>
      <c r="E528" s="425">
        <v>34900.400000000001</v>
      </c>
      <c r="F528" s="425">
        <v>2963240.14</v>
      </c>
      <c r="G528" s="425">
        <v>2964058.94</v>
      </c>
      <c r="H528" s="425">
        <v>39181.11</v>
      </c>
      <c r="I528" s="425">
        <v>35</v>
      </c>
      <c r="J528" s="425">
        <v>182</v>
      </c>
      <c r="K528" s="434">
        <v>0</v>
      </c>
      <c r="L528" s="305"/>
      <c r="M528" s="305"/>
      <c r="N528" s="305"/>
      <c r="O528" s="305"/>
      <c r="P528" s="306">
        <f t="shared" si="41"/>
        <v>84664.004000000001</v>
      </c>
      <c r="Q528" s="306">
        <f t="shared" si="42"/>
        <v>16286.038131868132</v>
      </c>
      <c r="R528" s="302">
        <f t="shared" si="43"/>
        <v>-818.79999999981374</v>
      </c>
      <c r="S528" s="307">
        <f t="shared" si="44"/>
        <v>1.0002763191511033</v>
      </c>
      <c r="T528" s="308">
        <f t="shared" si="45"/>
        <v>-2.7631915110322907E-4</v>
      </c>
      <c r="U528" s="305">
        <v>0</v>
      </c>
      <c r="V528" s="309">
        <v>390</v>
      </c>
      <c r="X528" s="12" t="s">
        <v>33</v>
      </c>
      <c r="Y528" s="13" t="s">
        <v>34</v>
      </c>
      <c r="Z528" s="12" t="s">
        <v>35</v>
      </c>
    </row>
    <row r="529" spans="3:26">
      <c r="C529" s="270" t="s">
        <v>36</v>
      </c>
      <c r="D529" s="262"/>
      <c r="E529" s="262"/>
      <c r="F529" s="438">
        <f>SUM(F523:F528)</f>
        <v>11282061.129999999</v>
      </c>
      <c r="G529" s="437">
        <f>SUM(G523:G528)</f>
        <v>11295880.800000001</v>
      </c>
      <c r="I529" s="2"/>
      <c r="J529" s="2"/>
      <c r="Q529" s="264"/>
      <c r="R529" s="262"/>
      <c r="S529" s="266"/>
      <c r="T529" s="267"/>
    </row>
    <row r="530" spans="3:26" ht="14.65" thickBot="1">
      <c r="D530" s="262"/>
      <c r="E530" s="262"/>
      <c r="I530" s="2"/>
      <c r="J530" s="2"/>
      <c r="P530" s="263"/>
      <c r="Q530" s="264"/>
      <c r="R530" s="262"/>
      <c r="S530" s="266"/>
      <c r="T530" s="267"/>
      <c r="X530" s="268"/>
      <c r="Y530" s="269"/>
      <c r="Z530" s="268"/>
    </row>
    <row r="531" spans="3:26" ht="14.65" thickBot="1">
      <c r="C531" s="16" t="s">
        <v>37</v>
      </c>
      <c r="D531" s="272"/>
      <c r="E531" s="272">
        <f>+G537</f>
        <v>37863.094999999994</v>
      </c>
      <c r="F531" s="272">
        <f>+G536</f>
        <v>1880343.5216666665</v>
      </c>
      <c r="G531" s="273">
        <f>+AVERAGE(G523:G528)</f>
        <v>1882646.8</v>
      </c>
      <c r="I531" s="276">
        <f>+AVERAGE(I523:I528)</f>
        <v>33.833333333333336</v>
      </c>
      <c r="J531" s="277">
        <f>+AVERAGE(J523:J528)</f>
        <v>124.66666666666667</v>
      </c>
      <c r="P531" s="311">
        <f>+AVERAGE(P523:P528)</f>
        <v>57837.342889803142</v>
      </c>
      <c r="Q531" s="272">
        <f>+AVERAGE(Q523:Q528)</f>
        <v>15163.486256618016</v>
      </c>
      <c r="R531" s="273">
        <f>+AVERAGE(R523:R528)</f>
        <v>-2303.2783333332823</v>
      </c>
      <c r="S531" s="9"/>
      <c r="T531" s="9"/>
      <c r="X531" s="268"/>
      <c r="Y531" s="269"/>
      <c r="Z531" s="268"/>
    </row>
    <row r="532" spans="3:26" ht="14.65" thickBot="1">
      <c r="C532" s="6" t="s">
        <v>38</v>
      </c>
      <c r="D532" s="274"/>
      <c r="E532" s="274">
        <f>(E523*0.05)+(E524*0.1)+(E525*0.1)+(E526*0.15)+(E527*0.25)+(E528*0.35)</f>
        <v>35167.256999999998</v>
      </c>
      <c r="F532" s="274">
        <f>(F523*0.05)+(F524*0.1)+(F525*0.1)+(F526*0.15)+(F527*0.25)+(F528*0.35)</f>
        <v>2166285.0134999999</v>
      </c>
      <c r="G532" s="275">
        <f>(G523*0.05)+(G524*0.1)+(G525*0.1)+(G526*0.15)+(G527*0.25)+(G528*0.35)</f>
        <v>2163206.0954999998</v>
      </c>
      <c r="I532" s="9"/>
      <c r="P532" s="312">
        <f>(P523*0.05)+(P524*0.1)+(P525*0.1)+(P526*0.15)+(P527*0.25)+(P528*0.35)</f>
        <v>62688.231166398225</v>
      </c>
      <c r="Q532" s="274">
        <f>(Q523*0.05)+(Q524*0.1)+(Q525*0.1)+(Q526*0.15)+(Q527*0.25)+(Q528*0.35)</f>
        <v>15289.633063215519</v>
      </c>
      <c r="R532" s="275">
        <f>(R523*0.05)+(R524*0.1)+(R525*0.1)+(R526*0.15)+(R527*0.25)+(R528*0.35)</f>
        <v>3078.9180000000629</v>
      </c>
      <c r="S532" s="9"/>
      <c r="T532" s="9"/>
    </row>
    <row r="533" spans="3:26" ht="14.65" thickBot="1"/>
    <row r="534" spans="3:26" ht="14.65" thickBot="1">
      <c r="D534" s="283" t="s">
        <v>39</v>
      </c>
      <c r="E534" s="284"/>
      <c r="F534" s="284"/>
      <c r="G534" s="429">
        <v>33576.19</v>
      </c>
    </row>
    <row r="535" spans="3:26" ht="14.65" thickBot="1">
      <c r="G535" s="278"/>
      <c r="H535" s="18" t="s">
        <v>40</v>
      </c>
    </row>
    <row r="536" spans="3:26">
      <c r="D536" s="16" t="s">
        <v>387</v>
      </c>
      <c r="E536" s="286"/>
      <c r="F536" s="286"/>
      <c r="G536" s="287">
        <f>+AVERAGE(F523:F528)</f>
        <v>1880343.5216666665</v>
      </c>
      <c r="H536" s="288"/>
      <c r="I536" s="17" t="s">
        <v>41</v>
      </c>
    </row>
    <row r="537" spans="3:26">
      <c r="D537" s="3" t="s">
        <v>18</v>
      </c>
      <c r="G537" s="279">
        <f>+AVERAGE(E523:E528)</f>
        <v>37863.094999999994</v>
      </c>
      <c r="H537" s="289"/>
      <c r="I537" t="s">
        <v>42</v>
      </c>
    </row>
    <row r="538" spans="3:26">
      <c r="D538" s="3" t="s">
        <v>43</v>
      </c>
      <c r="G538" s="279">
        <f>(E528*0.5)+(E527*0.3)+(E526*0.2)</f>
        <v>29014.385999999999</v>
      </c>
      <c r="H538" s="289"/>
    </row>
    <row r="539" spans="3:26">
      <c r="D539" s="3" t="s">
        <v>44</v>
      </c>
      <c r="G539" s="279">
        <f>AVERAGE(E523:E525)</f>
        <v>50772.28</v>
      </c>
      <c r="H539" s="289"/>
    </row>
    <row r="540" spans="3:26">
      <c r="D540" s="3" t="s">
        <v>351</v>
      </c>
      <c r="G540" s="370">
        <f>(AVERAGE(H526:H528) - AVERAGE(H523:H525)) / MAX(ABS(AVERAGE(H523:H525)), 1000)</f>
        <v>-0.48691558967423626</v>
      </c>
      <c r="H540" s="4">
        <f>IF(G540&gt;=1.2,100,IF(G540&gt;=1,80,IF(G540&gt;=0.8,50,IF(G540&gt;=0.5,30,IF(G540&gt;=0.2,0,-20)))))</f>
        <v>-20</v>
      </c>
      <c r="I540" s="501" t="s">
        <v>354</v>
      </c>
      <c r="J540" s="502"/>
      <c r="K540" s="502"/>
      <c r="L540" s="502"/>
      <c r="M540" s="502"/>
      <c r="N540" s="502"/>
      <c r="O540" s="502"/>
      <c r="P540" s="502"/>
    </row>
    <row r="541" spans="3:26">
      <c r="D541" s="369" t="s">
        <v>352</v>
      </c>
      <c r="E541" s="23"/>
      <c r="F541" s="23"/>
      <c r="G541" s="370">
        <f>(AVERAGE(R526:R528) - AVERAGE(R523:R525)) / MAX(ABS(AVERAGE(R523:R525)), 1000)</f>
        <v>1.5620057194164545</v>
      </c>
      <c r="H541" s="202">
        <f>IF(G541&gt;=1.2,100,IF(G541&gt;=1,80,IF(G541&gt;=0.8,50,IF(G541&gt;=0.5,30,IF(G541&gt;=0.2,0,-20)))))</f>
        <v>100</v>
      </c>
      <c r="I541" s="502"/>
      <c r="J541" s="502"/>
      <c r="K541" s="502"/>
      <c r="L541" s="502"/>
      <c r="M541" s="502"/>
      <c r="N541" s="502"/>
      <c r="O541" s="502"/>
      <c r="P541" s="502"/>
    </row>
    <row r="542" spans="3:26">
      <c r="D542" s="3" t="s">
        <v>45</v>
      </c>
      <c r="G542" s="265">
        <f>(SUM(F523:F528)*G562)/6</f>
        <v>2672.5123790101911</v>
      </c>
      <c r="H542" s="290"/>
      <c r="I542" t="s">
        <v>46</v>
      </c>
    </row>
    <row r="543" spans="3:26">
      <c r="D543" s="3" t="s">
        <v>47</v>
      </c>
      <c r="G543" s="265">
        <f>(R523*0.05)+(R524*0.1)+(R525*0.1)+(R526*0.15)+(R527*0.25)+(R528*0.35)</f>
        <v>3078.9180000000629</v>
      </c>
      <c r="H543" s="290"/>
      <c r="I543" t="s">
        <v>48</v>
      </c>
    </row>
    <row r="544" spans="3:26">
      <c r="D544" s="3" t="s">
        <v>49</v>
      </c>
      <c r="F544" s="280" t="str">
        <f>+IF(G544&lt;0.75,"Muy Sano",IF(G544&lt;0.85,"Sano",IF(G544&lt;0.95,"Presionado",IF(G544&gt;0.95,"Riesgoso"))))</f>
        <v>Riesgoso</v>
      </c>
      <c r="G544" s="281">
        <f>(S523*0.05)+(S524*0.1)+(S525*0.1)+(S526*0.15)+(S527*0.25)+(S528*0.35)</f>
        <v>0.99964427122991062</v>
      </c>
      <c r="H544" s="202">
        <f>+IF(G544&lt;0.75,100,IF(G544&lt;0.8,80,IF(G544&lt;0.85,50,IF(G544&lt;0.9,30,IF(G544&lt;0.95,15,IF(G544&lt;1,0,-20))))))</f>
        <v>0</v>
      </c>
      <c r="I544" t="s">
        <v>50</v>
      </c>
      <c r="S544" t="s">
        <v>355</v>
      </c>
    </row>
    <row r="545" spans="2:21">
      <c r="D545" s="3" t="s">
        <v>21</v>
      </c>
      <c r="G545" s="282">
        <f>+SUM(K523:K528)</f>
        <v>0</v>
      </c>
      <c r="H545" s="289"/>
      <c r="I545" t="s">
        <v>51</v>
      </c>
    </row>
    <row r="546" spans="2:21">
      <c r="D546" s="3" t="s">
        <v>52</v>
      </c>
      <c r="G546" s="15">
        <f>AVERAGE(E523:E528)/AVERAGE(F523:F528)</f>
        <v>2.0136264764238163E-2</v>
      </c>
      <c r="H546" s="202">
        <f>+IF(G546&gt;15%,100,IF(G546&gt;10%,80,IF(G546&gt;5%,60,IF(G546&gt;3%,50,IF(G546&gt;1.5%,20,IF(G546&lt;1.5%,10,IF(G546=0,0,-10)))))))</f>
        <v>20</v>
      </c>
      <c r="I546" t="s">
        <v>53</v>
      </c>
    </row>
    <row r="547" spans="2:21" ht="14.65" thickBot="1">
      <c r="D547" s="6" t="s">
        <v>54</v>
      </c>
      <c r="E547" s="291"/>
      <c r="F547" s="291"/>
      <c r="G547" s="292">
        <f>1 - (STDEV(F523:F528)/AVERAGE(F523:F528))</f>
        <v>0.70244969925241763</v>
      </c>
      <c r="H547" s="293">
        <f>MAX(0,MIN(100,G547*100))</f>
        <v>70.244969925241762</v>
      </c>
      <c r="I547" t="s">
        <v>55</v>
      </c>
    </row>
    <row r="548" spans="2:21" ht="14.65" thickBot="1">
      <c r="H548" s="18" t="s">
        <v>40</v>
      </c>
    </row>
    <row r="549" spans="2:21">
      <c r="B549" s="503"/>
      <c r="C549" s="504"/>
      <c r="D549" s="324"/>
      <c r="E549" s="324"/>
      <c r="F549" s="286"/>
      <c r="G549" s="325"/>
      <c r="H549" s="325"/>
    </row>
    <row r="550" spans="2:21">
      <c r="B550" s="489"/>
      <c r="C550" s="490"/>
      <c r="F550" s="8"/>
      <c r="G550" s="294"/>
      <c r="H550" s="294"/>
    </row>
    <row r="551" spans="2:21">
      <c r="B551" s="493" t="s">
        <v>56</v>
      </c>
      <c r="C551" s="494"/>
      <c r="D551" t="s">
        <v>57</v>
      </c>
      <c r="F551" s="8"/>
      <c r="G551" s="294">
        <f>(SUM(E523:E528)-MAX(E523:E528)-MIN(E523:E528))/(COUNT(E523:E528)-2)</f>
        <v>31175.307499999992</v>
      </c>
      <c r="H551" s="295"/>
      <c r="I551" t="s">
        <v>58</v>
      </c>
    </row>
    <row r="552" spans="2:21">
      <c r="B552" s="493" t="s">
        <v>56</v>
      </c>
      <c r="C552" s="494"/>
      <c r="D552" t="s">
        <v>59</v>
      </c>
      <c r="F552" s="8"/>
      <c r="G552" s="294">
        <f>+G551/G534</f>
        <v>0.92849449267471951</v>
      </c>
      <c r="H552" s="295">
        <f>IF(G552&lt;0.5,0,IF(G552&lt;1,20,IF(G552&lt;2,50,IF(G552&lt;3,70,IF(G552&lt;5,90,100)))))</f>
        <v>20</v>
      </c>
      <c r="I552" t="s">
        <v>60</v>
      </c>
    </row>
    <row r="553" spans="2:21">
      <c r="B553" s="487" t="s">
        <v>61</v>
      </c>
      <c r="C553" s="488"/>
      <c r="D553" t="s">
        <v>30</v>
      </c>
      <c r="G553" s="294">
        <f>_xlfn.STDEV.S(F523:F528)/AVERAGE(F523:F528)</f>
        <v>0.29755030074758243</v>
      </c>
      <c r="H553" s="294">
        <f>MAX(0,100-(G553*40))</f>
        <v>88.09798797009671</v>
      </c>
      <c r="I553" s="17" t="s">
        <v>62</v>
      </c>
    </row>
    <row r="554" spans="2:21">
      <c r="B554" s="505" t="s">
        <v>63</v>
      </c>
      <c r="C554" s="506"/>
      <c r="D554" t="s">
        <v>64</v>
      </c>
      <c r="G554" s="316">
        <f>((E528+E527+E526)/3)/((E523+E524+E525)/3)</f>
        <v>0.49148689009041951</v>
      </c>
      <c r="H554" s="374" t="str">
        <f>IF(G554&gt;=1.2,"liquidez mejora fuerte",IF(G554&gt;=1,"liquidez estable",IF(G554&gt;=0.8,"liquidez deteriora leve","liquidez deteriora fuerte")))</f>
        <v>liquidez deteriora fuerte</v>
      </c>
      <c r="I554" t="s">
        <v>65</v>
      </c>
    </row>
    <row r="555" spans="2:21">
      <c r="B555" s="489"/>
      <c r="C555" s="490"/>
      <c r="G555" s="294"/>
      <c r="H555" s="294"/>
    </row>
    <row r="556" spans="2:21">
      <c r="B556" s="487" t="s">
        <v>61</v>
      </c>
      <c r="C556" s="488"/>
      <c r="D556" t="s">
        <v>66</v>
      </c>
      <c r="G556" s="294">
        <f>MIN(3,STDEV(R523:R528)/MAX(ABS(AVERAGE(R523:R528)),1000))</f>
        <v>3</v>
      </c>
      <c r="H556" s="294">
        <f>MAX(0,100-(G556*30))</f>
        <v>10</v>
      </c>
      <c r="I556" t="s">
        <v>67</v>
      </c>
      <c r="R556" t="s">
        <v>68</v>
      </c>
    </row>
    <row r="557" spans="2:21">
      <c r="B557" s="489"/>
      <c r="C557" s="490"/>
      <c r="G557" s="294"/>
      <c r="H557" s="294"/>
    </row>
    <row r="558" spans="2:21">
      <c r="B558" s="491" t="s">
        <v>69</v>
      </c>
      <c r="C558" s="492"/>
      <c r="D558" t="s">
        <v>70</v>
      </c>
      <c r="F558" s="7"/>
      <c r="G558" s="294">
        <f>G542-(STDEV(R523:R528)*0.25)</f>
        <v>-9368.2282329824156</v>
      </c>
      <c r="H558" s="294"/>
      <c r="I558" t="s">
        <v>71</v>
      </c>
    </row>
    <row r="559" spans="2:21">
      <c r="B559" s="491" t="s">
        <v>69</v>
      </c>
      <c r="C559" s="492"/>
      <c r="D559" t="s">
        <v>72</v>
      </c>
      <c r="F559" s="7"/>
      <c r="G559" s="294">
        <f>+G558/G534</f>
        <v>-0.27901403443876194</v>
      </c>
      <c r="H559" s="296"/>
      <c r="I559" t="s">
        <v>73</v>
      </c>
      <c r="U559" t="s">
        <v>353</v>
      </c>
    </row>
    <row r="560" spans="2:21">
      <c r="B560" s="491" t="s">
        <v>69</v>
      </c>
      <c r="C560" s="492"/>
      <c r="D560" t="s">
        <v>74</v>
      </c>
      <c r="G560" s="297">
        <f>+G559/P565</f>
        <v>-0.11160561377550478</v>
      </c>
      <c r="H560" s="294">
        <f>IF((G559/P565)&gt;=1.5,100,IF((G559/P565)&gt;=1.2,80,IF((G559/P565)&gt;=1,60,IF((G559/P565)&gt;=0.8,40,0))))</f>
        <v>0</v>
      </c>
    </row>
    <row r="561" spans="2:17">
      <c r="B561" s="493" t="s">
        <v>56</v>
      </c>
      <c r="C561" s="494"/>
      <c r="D561" t="s">
        <v>75</v>
      </c>
      <c r="F561" s="7"/>
      <c r="G561" s="294">
        <f>SUM(F523:F528)/SUM(G523:G528)</f>
        <v>0.99877657437744904</v>
      </c>
      <c r="H561" s="371">
        <f>IF(G561&gt;=1.1,100,IF(G561&gt;=1.05,80,IF(G561&gt;=1,70,IF(G561&gt;=0.95,50,IF(G561&gt;=0.85,35,10)))))</f>
        <v>50</v>
      </c>
      <c r="I561" t="s">
        <v>76</v>
      </c>
      <c r="Q561" s="23" t="s">
        <v>359</v>
      </c>
    </row>
    <row r="562" spans="2:17" ht="14.65" thickBot="1">
      <c r="B562" s="495" t="s">
        <v>69</v>
      </c>
      <c r="C562" s="496"/>
      <c r="D562" s="291" t="s">
        <v>15</v>
      </c>
      <c r="E562" s="291"/>
      <c r="F562" s="298"/>
      <c r="G562" s="299">
        <f>+(F532-G532)/F532</f>
        <v>1.4212894336676182E-3</v>
      </c>
      <c r="H562" s="300">
        <f>IF(G562&gt;=0.2,100,
IF(G562&gt;=0.1,80,
IF(G562&gt;=0.05,60,
IF(G562&gt;=0,40,
IF(G562&gt;=-0.05,20,0)))))</f>
        <v>40</v>
      </c>
      <c r="I562" t="s">
        <v>77</v>
      </c>
    </row>
    <row r="563" spans="2:17" ht="14.65" thickBot="1"/>
    <row r="564" spans="2:17">
      <c r="B564" s="497" t="s">
        <v>78</v>
      </c>
      <c r="C564" s="498"/>
      <c r="D564" s="189" t="s">
        <v>79</v>
      </c>
      <c r="E564" s="189" t="s">
        <v>40</v>
      </c>
      <c r="F564" s="183"/>
      <c r="I564" s="253" t="s">
        <v>80</v>
      </c>
      <c r="J564" s="375">
        <v>3</v>
      </c>
      <c r="K564" s="256" t="s">
        <v>81</v>
      </c>
      <c r="L564" s="256"/>
      <c r="M564" s="256"/>
      <c r="N564" s="256"/>
      <c r="O564" s="256"/>
      <c r="P564" s="254" t="s">
        <v>82</v>
      </c>
      <c r="Q564" s="254" t="s">
        <v>83</v>
      </c>
    </row>
    <row r="565" spans="2:17">
      <c r="B565" s="184"/>
      <c r="C565" s="182" t="s">
        <v>84</v>
      </c>
      <c r="D565" s="185">
        <v>0.6</v>
      </c>
      <c r="E565" s="15">
        <f>+H560</f>
        <v>0</v>
      </c>
      <c r="F565" s="181"/>
      <c r="I565" s="24" t="s">
        <v>85</v>
      </c>
      <c r="J565" s="4">
        <v>2.75</v>
      </c>
      <c r="K565" s="421">
        <v>48</v>
      </c>
      <c r="L565" s="256"/>
      <c r="M565" s="256"/>
      <c r="N565" s="256"/>
      <c r="O565" s="256"/>
      <c r="P565" s="254">
        <f>+IF(K565&lt;=24,J564,IF(K565&lt;=36,J565,IF(K565&lt;=48,J566,IF(K565&lt;=60,J567,"2"))))</f>
        <v>2.5</v>
      </c>
      <c r="Q565" s="255">
        <f>+IF(K565&lt;24,30.2%,IF(K565&lt;36,26%,IF(K565&lt;48,24.55%,IF(K565&lt;60,23.82%,"0%"))))</f>
        <v>0.2382</v>
      </c>
    </row>
    <row r="566" spans="2:17">
      <c r="B566" s="184"/>
      <c r="C566" s="182" t="s">
        <v>86</v>
      </c>
      <c r="D566" s="185">
        <v>0.25</v>
      </c>
      <c r="E566" s="15">
        <f>+H544</f>
        <v>0</v>
      </c>
      <c r="F566" s="181"/>
      <c r="I566" s="24" t="s">
        <v>87</v>
      </c>
      <c r="J566" s="4">
        <v>2.5</v>
      </c>
    </row>
    <row r="567" spans="2:17" ht="14.65" thickBot="1">
      <c r="B567" s="184"/>
      <c r="C567" s="182" t="s">
        <v>15</v>
      </c>
      <c r="D567" s="185">
        <v>0.15</v>
      </c>
      <c r="E567" s="15">
        <f>+H562</f>
        <v>40</v>
      </c>
      <c r="F567" s="181"/>
      <c r="I567" s="50" t="s">
        <v>88</v>
      </c>
      <c r="J567" s="317">
        <v>2.25</v>
      </c>
    </row>
    <row r="568" spans="2:17" ht="14.65" thickBot="1">
      <c r="B568" s="186"/>
      <c r="C568" s="187"/>
      <c r="D568" s="187"/>
      <c r="E568" s="188" t="s">
        <v>89</v>
      </c>
      <c r="F568" s="195">
        <f>E565*D565 + E566*D566 + E567*D567</f>
        <v>6</v>
      </c>
    </row>
    <row r="569" spans="2:17" ht="14.65" thickBot="1">
      <c r="B569" s="499" t="s">
        <v>90</v>
      </c>
      <c r="C569" s="500"/>
      <c r="D569" s="189" t="s">
        <v>79</v>
      </c>
      <c r="E569" s="189" t="s">
        <v>40</v>
      </c>
      <c r="F569" s="183"/>
      <c r="H569" s="9"/>
      <c r="I569" s="313" t="s">
        <v>91</v>
      </c>
      <c r="J569" s="314"/>
      <c r="K569" s="315" t="s">
        <v>92</v>
      </c>
      <c r="L569" s="410"/>
      <c r="M569" s="410"/>
      <c r="N569" s="410"/>
      <c r="O569" s="410"/>
      <c r="P569" s="314"/>
    </row>
    <row r="570" spans="2:17">
      <c r="B570" s="184"/>
      <c r="C570" s="182" t="s">
        <v>93</v>
      </c>
      <c r="D570" s="190">
        <v>0.5</v>
      </c>
      <c r="E570" s="15">
        <f>+H552</f>
        <v>20</v>
      </c>
      <c r="F570" s="181"/>
      <c r="H570" s="182" t="s">
        <v>94</v>
      </c>
      <c r="I570" s="476">
        <f>+G537/P565</f>
        <v>15145.237999999998</v>
      </c>
      <c r="J570" s="477"/>
      <c r="K570" s="478">
        <f>ABS(PV(Q565/12,K565,I570))</f>
        <v>465972.84010289516</v>
      </c>
      <c r="L570" s="479"/>
      <c r="M570" s="479"/>
      <c r="N570" s="479"/>
      <c r="O570" s="479"/>
      <c r="P570" s="480"/>
    </row>
    <row r="571" spans="2:17">
      <c r="B571" s="184"/>
      <c r="C571" s="182" t="s">
        <v>95</v>
      </c>
      <c r="D571" s="190">
        <v>0.3</v>
      </c>
      <c r="E571" s="15">
        <f>+H561</f>
        <v>50</v>
      </c>
      <c r="F571" s="181"/>
      <c r="H571" s="182" t="s">
        <v>96</v>
      </c>
      <c r="I571" s="476">
        <f>+G536/P565</f>
        <v>752137.4086666666</v>
      </c>
      <c r="J571" s="477"/>
      <c r="K571" s="478">
        <f>ABS(PV(Q565/12,K565,I571))</f>
        <v>23140977.016276576</v>
      </c>
      <c r="L571" s="479"/>
      <c r="M571" s="479"/>
      <c r="N571" s="479"/>
      <c r="O571" s="479"/>
      <c r="P571" s="480"/>
    </row>
    <row r="572" spans="2:17" ht="14.65" thickBot="1">
      <c r="B572" s="184"/>
      <c r="C572" s="8" t="s">
        <v>97</v>
      </c>
      <c r="D572" s="185">
        <v>0.2</v>
      </c>
      <c r="E572" s="15">
        <f>+H546</f>
        <v>20</v>
      </c>
      <c r="F572" s="181"/>
      <c r="H572" s="257" t="s">
        <v>98</v>
      </c>
      <c r="I572" s="481">
        <f>+G538/P565</f>
        <v>11605.7544</v>
      </c>
      <c r="J572" s="482"/>
      <c r="K572" s="483">
        <f>ABS(PV(Q565/12,K565,I572))</f>
        <v>357073.71117605898</v>
      </c>
      <c r="L572" s="484"/>
      <c r="M572" s="484"/>
      <c r="N572" s="484"/>
      <c r="O572" s="484"/>
      <c r="P572" s="485"/>
    </row>
    <row r="573" spans="2:17" ht="14.65" thickBot="1">
      <c r="B573" s="191"/>
      <c r="C573" s="182"/>
      <c r="D573" s="187"/>
      <c r="E573" s="188" t="s">
        <v>89</v>
      </c>
      <c r="F573" s="195">
        <f xml:space="preserve"> E570*D570 + E571*D571+E572*D572</f>
        <v>29</v>
      </c>
    </row>
    <row r="574" spans="2:17">
      <c r="B574" s="196" t="s">
        <v>99</v>
      </c>
      <c r="C574" s="197"/>
      <c r="D574" s="189" t="s">
        <v>79</v>
      </c>
      <c r="E574" s="189" t="s">
        <v>40</v>
      </c>
      <c r="F574" s="183"/>
      <c r="I574" s="486" t="s">
        <v>100</v>
      </c>
      <c r="J574" s="486"/>
      <c r="P574" s="8"/>
    </row>
    <row r="575" spans="2:17">
      <c r="B575" s="184"/>
      <c r="C575" s="182" t="s">
        <v>101</v>
      </c>
      <c r="D575" s="7">
        <v>0.6</v>
      </c>
      <c r="E575" s="15">
        <f>+H556</f>
        <v>10</v>
      </c>
      <c r="F575" s="181"/>
      <c r="I575" t="s">
        <v>102</v>
      </c>
      <c r="J575" t="s">
        <v>103</v>
      </c>
    </row>
    <row r="576" spans="2:17" ht="14.65" thickBot="1">
      <c r="B576" s="184"/>
      <c r="C576" s="182" t="s">
        <v>104</v>
      </c>
      <c r="D576" s="7">
        <v>0.4</v>
      </c>
      <c r="E576" s="201">
        <f>+H547</f>
        <v>70.244969925241762</v>
      </c>
      <c r="F576" s="181"/>
      <c r="I576" s="8" t="s">
        <v>105</v>
      </c>
      <c r="J576" t="s">
        <v>106</v>
      </c>
    </row>
    <row r="577" spans="1:42" ht="14.65" thickBot="1">
      <c r="B577" s="192"/>
      <c r="E577" s="193" t="s">
        <v>89</v>
      </c>
      <c r="F577" s="195">
        <f xml:space="preserve"> E575*D575 + E576*D576</f>
        <v>34.09798797009671</v>
      </c>
      <c r="I577" s="8" t="s">
        <v>107</v>
      </c>
      <c r="J577" t="s">
        <v>108</v>
      </c>
    </row>
    <row r="578" spans="1:42">
      <c r="B578" s="198" t="s">
        <v>109</v>
      </c>
      <c r="C578" s="199"/>
      <c r="D578" s="189" t="s">
        <v>79</v>
      </c>
      <c r="E578" s="189" t="s">
        <v>40</v>
      </c>
      <c r="F578" s="183"/>
      <c r="I578" s="8" t="s">
        <v>110</v>
      </c>
      <c r="J578" t="s">
        <v>111</v>
      </c>
    </row>
    <row r="579" spans="1:42" ht="14.65" thickBot="1">
      <c r="B579" s="194"/>
      <c r="C579" s="182" t="s">
        <v>112</v>
      </c>
      <c r="D579" s="7">
        <v>1</v>
      </c>
      <c r="E579" s="2">
        <f>+H540</f>
        <v>-20</v>
      </c>
      <c r="F579" s="181"/>
      <c r="I579" s="8" t="s">
        <v>113</v>
      </c>
      <c r="J579" t="s">
        <v>114</v>
      </c>
    </row>
    <row r="580" spans="1:42" ht="14.65" thickBot="1">
      <c r="B580" s="186"/>
      <c r="C580" s="187"/>
      <c r="D580" s="187"/>
      <c r="E580" s="188" t="s">
        <v>89</v>
      </c>
      <c r="F580" s="195">
        <f>+ E579*D579</f>
        <v>-20</v>
      </c>
      <c r="I580" s="8" t="s">
        <v>115</v>
      </c>
      <c r="J580" t="s">
        <v>106</v>
      </c>
    </row>
    <row r="581" spans="1:42" ht="14.65" thickBot="1">
      <c r="I581" s="8" t="s">
        <v>350</v>
      </c>
      <c r="J581" t="s">
        <v>108</v>
      </c>
    </row>
    <row r="582" spans="1:42">
      <c r="E582" s="423" t="s">
        <v>116</v>
      </c>
      <c r="F582" s="424">
        <f>(F568*0.4)+
(F573*0.3)+
(F577*0.2)+
(F580*0.1)</f>
        <v>15.919597594019343</v>
      </c>
    </row>
    <row r="583" spans="1:42">
      <c r="E583" s="425" t="s">
        <v>117</v>
      </c>
      <c r="F583" s="426">
        <f>MIN(1000,MAX(0,F582*10))</f>
        <v>159.19597594019342</v>
      </c>
    </row>
    <row r="585" spans="1:42" ht="14.65" thickBot="1">
      <c r="E585" s="11"/>
      <c r="F585" s="11"/>
    </row>
    <row r="586" spans="1:42" ht="27" thickBot="1">
      <c r="A586" s="453" t="s">
        <v>398</v>
      </c>
      <c r="B586" s="454"/>
      <c r="C586" s="454"/>
      <c r="D586" s="454"/>
      <c r="E586" s="454"/>
      <c r="F586" s="388"/>
      <c r="G586" s="388"/>
      <c r="H586" s="389"/>
      <c r="I586" s="386"/>
      <c r="J586" s="386"/>
      <c r="K586" s="386"/>
      <c r="L586" s="386"/>
      <c r="M586" s="386"/>
      <c r="N586" s="386"/>
      <c r="O586" s="386"/>
      <c r="P586" s="386"/>
      <c r="Q586" s="386"/>
      <c r="R586" s="386"/>
      <c r="S586" s="386"/>
      <c r="T586" s="386"/>
      <c r="U586" s="386"/>
      <c r="V586" s="386"/>
      <c r="W586" s="386"/>
      <c r="X586" s="386"/>
      <c r="Y586" s="386"/>
      <c r="Z586" s="386"/>
      <c r="AA586" s="386"/>
      <c r="AB586" s="386"/>
      <c r="AC586" s="386"/>
      <c r="AD586" s="386"/>
      <c r="AE586" s="386"/>
      <c r="AF586" s="386"/>
      <c r="AG586" s="386"/>
      <c r="AH586" s="386"/>
      <c r="AI586" s="386"/>
      <c r="AJ586" s="386"/>
      <c r="AK586" s="386"/>
      <c r="AL586" s="386"/>
      <c r="AM586" s="386"/>
      <c r="AN586" s="386"/>
      <c r="AO586" s="386"/>
      <c r="AP586" s="390"/>
    </row>
    <row r="587" spans="1:42" ht="42.75" customHeight="1" thickBot="1">
      <c r="B587" s="405" t="s">
        <v>1</v>
      </c>
      <c r="C587" s="406" t="s">
        <v>2</v>
      </c>
      <c r="D587" s="435" t="s">
        <v>3</v>
      </c>
      <c r="E587" s="435" t="s">
        <v>4</v>
      </c>
      <c r="F587" s="435" t="s">
        <v>5</v>
      </c>
      <c r="G587" s="435" t="s">
        <v>6</v>
      </c>
      <c r="H587" s="435" t="s">
        <v>7</v>
      </c>
      <c r="I587" s="436" t="s">
        <v>388</v>
      </c>
      <c r="J587" s="436" t="s">
        <v>385</v>
      </c>
      <c r="K587" s="406" t="s">
        <v>386</v>
      </c>
      <c r="L587" s="406" t="s">
        <v>391</v>
      </c>
      <c r="M587" s="406" t="s">
        <v>392</v>
      </c>
      <c r="N587" s="406" t="s">
        <v>389</v>
      </c>
      <c r="O587" s="406" t="s">
        <v>390</v>
      </c>
      <c r="P587" s="406" t="s">
        <v>11</v>
      </c>
      <c r="Q587" s="406" t="s">
        <v>12</v>
      </c>
      <c r="R587" s="406" t="s">
        <v>13</v>
      </c>
      <c r="S587" s="406" t="s">
        <v>14</v>
      </c>
      <c r="T587" s="406" t="s">
        <v>15</v>
      </c>
      <c r="U587" s="406" t="s">
        <v>16</v>
      </c>
      <c r="V587" s="408" t="s">
        <v>17</v>
      </c>
      <c r="X587" s="394" t="s">
        <v>18</v>
      </c>
      <c r="Y587" s="395" t="s">
        <v>19</v>
      </c>
      <c r="Z587" s="394" t="s">
        <v>20</v>
      </c>
    </row>
    <row r="588" spans="1:42" ht="27.75" thickBot="1">
      <c r="B588" s="248">
        <v>1</v>
      </c>
      <c r="C588" s="431" t="s">
        <v>379</v>
      </c>
      <c r="D588" s="425">
        <v>1</v>
      </c>
      <c r="E588" s="425">
        <v>1</v>
      </c>
      <c r="F588" s="425">
        <v>1</v>
      </c>
      <c r="G588" s="425">
        <v>1</v>
      </c>
      <c r="H588" s="425">
        <v>1</v>
      </c>
      <c r="I588" s="425">
        <v>1</v>
      </c>
      <c r="J588" s="425">
        <v>1</v>
      </c>
      <c r="K588" s="433">
        <v>0</v>
      </c>
      <c r="L588" s="400"/>
      <c r="M588" s="400"/>
      <c r="N588" s="400"/>
      <c r="O588" s="400"/>
      <c r="P588" s="401">
        <f t="shared" ref="P588:P593" si="46">+F588/I588</f>
        <v>1</v>
      </c>
      <c r="Q588" s="401">
        <f t="shared" ref="Q588:Q593" si="47">+G588/J588</f>
        <v>1</v>
      </c>
      <c r="R588" s="397">
        <f t="shared" ref="R588:R593" si="48">+F588-G588</f>
        <v>0</v>
      </c>
      <c r="S588" s="402">
        <f t="shared" ref="S588:S593" si="49">+G588/F588</f>
        <v>1</v>
      </c>
      <c r="T588" s="403">
        <f t="shared" ref="T588:T593" si="50">(+F588-G588)/F588</f>
        <v>0</v>
      </c>
      <c r="U588" s="400">
        <v>0</v>
      </c>
      <c r="V588" s="404">
        <v>26</v>
      </c>
      <c r="X588" s="12" t="s">
        <v>21</v>
      </c>
      <c r="Y588" s="13" t="s">
        <v>22</v>
      </c>
      <c r="Z588" s="12" t="s">
        <v>23</v>
      </c>
    </row>
    <row r="589" spans="1:42" ht="28.15" thickBot="1">
      <c r="B589" s="249">
        <v>2</v>
      </c>
      <c r="C589" s="432" t="s">
        <v>380</v>
      </c>
      <c r="D589" s="425">
        <v>1</v>
      </c>
      <c r="E589" s="425">
        <v>29023.99</v>
      </c>
      <c r="F589" s="425">
        <v>1</v>
      </c>
      <c r="G589" s="425">
        <v>1</v>
      </c>
      <c r="H589" s="425">
        <v>1</v>
      </c>
      <c r="I589" s="425">
        <v>1</v>
      </c>
      <c r="J589" s="425">
        <v>1</v>
      </c>
      <c r="K589" s="434">
        <v>0</v>
      </c>
      <c r="L589" s="305"/>
      <c r="M589" s="305"/>
      <c r="N589" s="305"/>
      <c r="O589" s="305"/>
      <c r="P589" s="306">
        <f t="shared" si="46"/>
        <v>1</v>
      </c>
      <c r="Q589" s="306">
        <f t="shared" si="47"/>
        <v>1</v>
      </c>
      <c r="R589" s="302">
        <f t="shared" si="48"/>
        <v>0</v>
      </c>
      <c r="S589" s="307">
        <f t="shared" si="49"/>
        <v>1</v>
      </c>
      <c r="T589" s="308">
        <f t="shared" si="50"/>
        <v>0</v>
      </c>
      <c r="U589" s="305">
        <v>0</v>
      </c>
      <c r="V589" s="310">
        <v>401.19</v>
      </c>
      <c r="X589" s="12" t="s">
        <v>24</v>
      </c>
      <c r="Y589" s="13" t="s">
        <v>25</v>
      </c>
      <c r="Z589" s="12" t="s">
        <v>26</v>
      </c>
    </row>
    <row r="590" spans="1:42" ht="27.75" thickBot="1">
      <c r="B590" s="249">
        <v>3</v>
      </c>
      <c r="C590" s="432" t="s">
        <v>381</v>
      </c>
      <c r="D590" s="425">
        <v>29023.99</v>
      </c>
      <c r="E590" s="425">
        <v>93659.61</v>
      </c>
      <c r="F590" s="425">
        <v>943915.61</v>
      </c>
      <c r="G590" s="425">
        <v>879279.99</v>
      </c>
      <c r="H590" s="425">
        <v>41453.47</v>
      </c>
      <c r="I590" s="425">
        <v>38</v>
      </c>
      <c r="J590" s="425">
        <v>96</v>
      </c>
      <c r="K590" s="434">
        <v>0</v>
      </c>
      <c r="L590" s="305"/>
      <c r="M590" s="305"/>
      <c r="N590" s="305"/>
      <c r="O590" s="305"/>
      <c r="P590" s="306">
        <f t="shared" si="46"/>
        <v>24839.884473684211</v>
      </c>
      <c r="Q590" s="306">
        <f t="shared" si="47"/>
        <v>9159.1665625000005</v>
      </c>
      <c r="R590" s="302">
        <f t="shared" si="48"/>
        <v>64635.619999999995</v>
      </c>
      <c r="S590" s="307">
        <f t="shared" si="49"/>
        <v>0.93152394206087974</v>
      </c>
      <c r="T590" s="308">
        <f t="shared" si="50"/>
        <v>6.8476057939120205E-2</v>
      </c>
      <c r="U590" s="305">
        <v>0</v>
      </c>
      <c r="V590" s="309"/>
      <c r="X590" s="12" t="s">
        <v>27</v>
      </c>
      <c r="Y590" s="13" t="s">
        <v>28</v>
      </c>
      <c r="Z590" s="14" t="s">
        <v>29</v>
      </c>
    </row>
    <row r="591" spans="1:42" ht="27.75" thickBot="1">
      <c r="B591" s="249">
        <v>4</v>
      </c>
      <c r="C591" s="432" t="s">
        <v>382</v>
      </c>
      <c r="D591" s="425">
        <v>93659.61</v>
      </c>
      <c r="E591" s="425">
        <v>1845.77</v>
      </c>
      <c r="F591" s="425">
        <v>824109.97</v>
      </c>
      <c r="G591" s="425">
        <v>915923.81</v>
      </c>
      <c r="H591" s="425">
        <v>33346.54</v>
      </c>
      <c r="I591" s="425">
        <v>32</v>
      </c>
      <c r="J591" s="425">
        <v>88</v>
      </c>
      <c r="K591" s="434">
        <v>0</v>
      </c>
      <c r="L591" s="305"/>
      <c r="M591" s="305"/>
      <c r="N591" s="305"/>
      <c r="O591" s="305"/>
      <c r="P591" s="306">
        <f t="shared" si="46"/>
        <v>25753.436562499999</v>
      </c>
      <c r="Q591" s="306">
        <f t="shared" si="47"/>
        <v>10408.225113636365</v>
      </c>
      <c r="R591" s="302">
        <f t="shared" si="48"/>
        <v>-91813.840000000084</v>
      </c>
      <c r="S591" s="307">
        <f t="shared" si="49"/>
        <v>1.111409694509581</v>
      </c>
      <c r="T591" s="308">
        <f t="shared" si="50"/>
        <v>-0.11140969450958114</v>
      </c>
      <c r="U591" s="305">
        <v>0</v>
      </c>
      <c r="V591" s="310">
        <v>390</v>
      </c>
      <c r="X591" s="12" t="s">
        <v>30</v>
      </c>
      <c r="Y591" s="13" t="s">
        <v>31</v>
      </c>
      <c r="Z591" s="12" t="s">
        <v>32</v>
      </c>
    </row>
    <row r="592" spans="1:42" ht="14.65" thickBot="1">
      <c r="B592" s="249">
        <v>5</v>
      </c>
      <c r="C592" s="432" t="s">
        <v>383</v>
      </c>
      <c r="D592" s="425">
        <v>1845.77</v>
      </c>
      <c r="E592" s="425">
        <v>120089.60000000001</v>
      </c>
      <c r="F592" s="425">
        <v>759242.96</v>
      </c>
      <c r="G592" s="425">
        <v>640999.13</v>
      </c>
      <c r="H592" s="425">
        <v>24448.33</v>
      </c>
      <c r="I592" s="425">
        <v>48</v>
      </c>
      <c r="J592" s="425">
        <v>84</v>
      </c>
      <c r="K592" s="434"/>
      <c r="L592" s="305"/>
      <c r="M592" s="305"/>
      <c r="N592" s="305"/>
      <c r="O592" s="305"/>
      <c r="P592" s="306">
        <f t="shared" si="46"/>
        <v>15817.561666666666</v>
      </c>
      <c r="Q592" s="306">
        <f t="shared" si="47"/>
        <v>7630.9420238095236</v>
      </c>
      <c r="R592" s="302">
        <f t="shared" si="48"/>
        <v>118243.82999999996</v>
      </c>
      <c r="S592" s="307">
        <f t="shared" si="49"/>
        <v>0.84426088060138227</v>
      </c>
      <c r="T592" s="308">
        <f t="shared" si="50"/>
        <v>0.15573911939861776</v>
      </c>
      <c r="U592" s="305"/>
      <c r="V592" s="303">
        <v>1067.03</v>
      </c>
      <c r="X592" s="12"/>
      <c r="Y592" s="13"/>
      <c r="Z592" s="12"/>
    </row>
    <row r="593" spans="2:26" ht="27.75" thickBot="1">
      <c r="B593" s="250">
        <v>6</v>
      </c>
      <c r="C593" s="432" t="s">
        <v>384</v>
      </c>
      <c r="D593" s="425">
        <v>120089.60000000001</v>
      </c>
      <c r="E593" s="425">
        <v>138321.48000000001</v>
      </c>
      <c r="F593" s="425">
        <v>656952.18999999994</v>
      </c>
      <c r="G593" s="425">
        <v>638720.31000000006</v>
      </c>
      <c r="H593" s="425">
        <v>28160.37</v>
      </c>
      <c r="I593" s="425">
        <v>47</v>
      </c>
      <c r="J593" s="425">
        <v>83</v>
      </c>
      <c r="K593" s="434">
        <v>0</v>
      </c>
      <c r="L593" s="305"/>
      <c r="M593" s="305"/>
      <c r="N593" s="305"/>
      <c r="O593" s="305"/>
      <c r="P593" s="306">
        <f t="shared" si="46"/>
        <v>13977.706170212765</v>
      </c>
      <c r="Q593" s="306">
        <f t="shared" si="47"/>
        <v>7695.4254216867475</v>
      </c>
      <c r="R593" s="302">
        <f t="shared" si="48"/>
        <v>18231.879999999888</v>
      </c>
      <c r="S593" s="307">
        <f t="shared" si="49"/>
        <v>0.97224778259739131</v>
      </c>
      <c r="T593" s="308">
        <f t="shared" si="50"/>
        <v>2.7752217402608689E-2</v>
      </c>
      <c r="U593" s="305">
        <v>0</v>
      </c>
      <c r="V593" s="309">
        <v>390</v>
      </c>
      <c r="X593" s="12" t="s">
        <v>33</v>
      </c>
      <c r="Y593" s="13" t="s">
        <v>34</v>
      </c>
      <c r="Z593" s="12" t="s">
        <v>35</v>
      </c>
    </row>
    <row r="594" spans="2:26">
      <c r="C594" s="270" t="s">
        <v>36</v>
      </c>
      <c r="D594" s="262"/>
      <c r="E594" s="262"/>
      <c r="F594" s="437">
        <f>SUM(F588:F593)</f>
        <v>3184222.73</v>
      </c>
      <c r="G594" s="437">
        <f>SUM(G588:G593)</f>
        <v>3074925.24</v>
      </c>
      <c r="I594" s="2"/>
      <c r="J594" s="2"/>
      <c r="Q594" s="264"/>
      <c r="R594" s="262"/>
      <c r="S594" s="266"/>
      <c r="T594" s="267"/>
    </row>
    <row r="595" spans="2:26" ht="14.65" thickBot="1">
      <c r="D595" s="262"/>
      <c r="E595" s="262"/>
      <c r="I595" s="2"/>
      <c r="J595" s="2"/>
      <c r="P595" s="263"/>
      <c r="Q595" s="264"/>
      <c r="R595" s="262"/>
      <c r="S595" s="266"/>
      <c r="T595" s="267"/>
      <c r="X595" s="268"/>
      <c r="Y595" s="269"/>
      <c r="Z595" s="268"/>
    </row>
    <row r="596" spans="2:26" ht="14.65" thickBot="1">
      <c r="C596" s="16" t="s">
        <v>37</v>
      </c>
      <c r="D596" s="272"/>
      <c r="E596" s="272">
        <f>+G602</f>
        <v>63823.575000000012</v>
      </c>
      <c r="F596" s="272">
        <f>+G601</f>
        <v>530703.78833333333</v>
      </c>
      <c r="G596" s="273">
        <f>+AVERAGE(G588:G593)</f>
        <v>512487.54000000004</v>
      </c>
      <c r="I596" s="276">
        <f>+AVERAGE(I588:I593)</f>
        <v>27.833333333333332</v>
      </c>
      <c r="J596" s="277">
        <f>+AVERAGE(J588:J593)</f>
        <v>58.833333333333336</v>
      </c>
      <c r="P596" s="311">
        <f>+AVERAGE(P588:P593)</f>
        <v>13398.431478843939</v>
      </c>
      <c r="Q596" s="272">
        <f>+AVERAGE(Q588:Q593)</f>
        <v>5815.9598536054391</v>
      </c>
      <c r="R596" s="273">
        <f>+AVERAGE(R588:R593)</f>
        <v>18216.248333333293</v>
      </c>
      <c r="S596" s="9"/>
      <c r="T596" s="9"/>
      <c r="X596" s="268"/>
      <c r="Y596" s="269"/>
      <c r="Z596" s="268"/>
    </row>
    <row r="597" spans="2:26" ht="14.65" thickBot="1">
      <c r="C597" s="6" t="s">
        <v>38</v>
      </c>
      <c r="D597" s="274"/>
      <c r="E597" s="274">
        <f>(E588*0.05)+(E589*0.1)+(E590*0.1)+(E591*0.15)+(E592*0.25)+(E593*0.35)</f>
        <v>90980.193500000008</v>
      </c>
      <c r="F597" s="274">
        <f>(F588*0.05)+(F589*0.1)+(F590*0.1)+(F591*0.15)+(F592*0.25)+(F593*0.35)</f>
        <v>637752.21299999999</v>
      </c>
      <c r="G597" s="275">
        <f>(G588*0.05)+(G589*0.1)+(G590*0.1)+(G591*0.15)+(G592*0.25)+(G593*0.35)</f>
        <v>609118.6115</v>
      </c>
      <c r="I597" s="9"/>
      <c r="P597" s="312">
        <f>(P588*0.05)+(P589*0.1)+(P590*0.1)+(P591*0.15)+(P592*0.25)+(P593*0.35)</f>
        <v>15193.741507984556</v>
      </c>
      <c r="Q597" s="274">
        <f>(Q588*0.05)+(Q589*0.1)+(Q590*0.1)+(Q591*0.15)+(Q592*0.25)+(Q593*0.35)</f>
        <v>7078.4348268381964</v>
      </c>
      <c r="R597" s="275">
        <f>(R588*0.05)+(R589*0.1)+(R590*0.1)+(R591*0.15)+(R592*0.25)+(R593*0.35)</f>
        <v>28633.601499999939</v>
      </c>
      <c r="S597" s="9"/>
      <c r="T597" s="9"/>
    </row>
    <row r="598" spans="2:26" ht="14.65" thickBot="1"/>
    <row r="599" spans="2:26" ht="14.65" thickBot="1">
      <c r="D599" s="283" t="s">
        <v>39</v>
      </c>
      <c r="E599" s="284"/>
      <c r="F599" s="284"/>
      <c r="G599" s="429">
        <v>22704.84</v>
      </c>
    </row>
    <row r="600" spans="2:26" ht="14.65" thickBot="1">
      <c r="G600" s="278"/>
      <c r="H600" s="18" t="s">
        <v>40</v>
      </c>
    </row>
    <row r="601" spans="2:26">
      <c r="D601" s="16" t="s">
        <v>387</v>
      </c>
      <c r="E601" s="286"/>
      <c r="F601" s="286"/>
      <c r="G601" s="287">
        <f>+AVERAGE(F588:F593)</f>
        <v>530703.78833333333</v>
      </c>
      <c r="H601" s="288"/>
      <c r="I601" s="17" t="s">
        <v>41</v>
      </c>
    </row>
    <row r="602" spans="2:26">
      <c r="D602" s="3" t="s">
        <v>18</v>
      </c>
      <c r="G602" s="279">
        <f>+AVERAGE(E588:E593)</f>
        <v>63823.575000000012</v>
      </c>
      <c r="H602" s="289"/>
      <c r="I602" t="s">
        <v>42</v>
      </c>
    </row>
    <row r="603" spans="2:26">
      <c r="D603" s="3" t="s">
        <v>43</v>
      </c>
      <c r="G603" s="279">
        <f>(E593*0.5)+(E592*0.3)+(E591*0.2)</f>
        <v>105556.77399999999</v>
      </c>
      <c r="H603" s="289"/>
    </row>
    <row r="604" spans="2:26">
      <c r="D604" s="3" t="s">
        <v>44</v>
      </c>
      <c r="G604" s="279">
        <f>AVERAGE(E588:E590)</f>
        <v>40894.866666666669</v>
      </c>
      <c r="H604" s="289"/>
    </row>
    <row r="605" spans="2:26">
      <c r="D605" s="3" t="s">
        <v>351</v>
      </c>
      <c r="G605" s="370">
        <f>(AVERAGE(H591:H593) - AVERAGE(H588:H590)) / MAX(ABS(AVERAGE(H588:H590)), 1000)</f>
        <v>1.0734354236003116</v>
      </c>
      <c r="H605" s="4">
        <f>IF(G605&gt;=1.2,100,IF(G605&gt;=1,80,IF(G605&gt;=0.8,50,IF(G605&gt;=0.5,30,IF(G605&gt;=0.2,0,-20)))))</f>
        <v>80</v>
      </c>
      <c r="I605" s="501" t="s">
        <v>354</v>
      </c>
      <c r="J605" s="502"/>
      <c r="K605" s="502"/>
      <c r="L605" s="502"/>
      <c r="M605" s="502"/>
      <c r="N605" s="502"/>
      <c r="O605" s="502"/>
      <c r="P605" s="502"/>
    </row>
    <row r="606" spans="2:26">
      <c r="D606" s="369" t="s">
        <v>352</v>
      </c>
      <c r="E606" s="23"/>
      <c r="F606" s="23"/>
      <c r="G606" s="370">
        <f>(AVERAGE(R591:R593) - AVERAGE(R588:R590)) / MAX(ABS(AVERAGE(R588:R590)), 1000)</f>
        <v>-0.30902078451479592</v>
      </c>
      <c r="H606" s="202">
        <f>IF(G606&gt;=1.2,100,IF(G606&gt;=1,80,IF(G606&gt;=0.8,50,IF(G606&gt;=0.5,30,IF(G606&gt;=0.2,0,-20)))))</f>
        <v>-20</v>
      </c>
      <c r="I606" s="502"/>
      <c r="J606" s="502"/>
      <c r="K606" s="502"/>
      <c r="L606" s="502"/>
      <c r="M606" s="502"/>
      <c r="N606" s="502"/>
      <c r="O606" s="502"/>
      <c r="P606" s="502"/>
    </row>
    <row r="607" spans="2:26">
      <c r="D607" s="3" t="s">
        <v>45</v>
      </c>
      <c r="G607" s="265">
        <f>(SUM(F588:F593)*G627)/6</f>
        <v>23827.374456601076</v>
      </c>
      <c r="H607" s="290"/>
      <c r="I607" t="s">
        <v>46</v>
      </c>
    </row>
    <row r="608" spans="2:26">
      <c r="D608" s="3" t="s">
        <v>47</v>
      </c>
      <c r="G608" s="265">
        <f>(R588*0.05)+(R589*0.1)+(R590*0.1)+(R591*0.15)+(R592*0.25)+(R593*0.35)</f>
        <v>28633.601499999939</v>
      </c>
      <c r="H608" s="290"/>
      <c r="I608" t="s">
        <v>48</v>
      </c>
    </row>
    <row r="609" spans="2:21">
      <c r="D609" s="3" t="s">
        <v>49</v>
      </c>
      <c r="F609" s="280" t="str">
        <f>+IF(G609&lt;0.75,"Muy Sano",IF(G609&lt;0.85,"Sano",IF(G609&lt;0.95,"Presionado",IF(G609&gt;0.95,"Riesgoso"))))</f>
        <v>Riesgoso</v>
      </c>
      <c r="G609" s="281">
        <f>(S588*0.05)+(S589*0.1)+(S590*0.1)+(S591*0.15)+(S592*0.25)+(S593*0.35)</f>
        <v>0.96121579244195776</v>
      </c>
      <c r="H609" s="202">
        <f>+IF(G609&lt;0.75,100,IF(G609&lt;0.8,80,IF(G609&lt;0.85,50,IF(G609&lt;0.9,30,IF(G609&lt;0.95,15,IF(G609&lt;1,0,-20))))))</f>
        <v>0</v>
      </c>
      <c r="I609" t="s">
        <v>50</v>
      </c>
      <c r="S609" t="s">
        <v>355</v>
      </c>
    </row>
    <row r="610" spans="2:21">
      <c r="D610" s="3" t="s">
        <v>21</v>
      </c>
      <c r="G610" s="282">
        <f>+SUM(K588:K593)</f>
        <v>0</v>
      </c>
      <c r="H610" s="289"/>
      <c r="I610" t="s">
        <v>51</v>
      </c>
    </row>
    <row r="611" spans="2:21">
      <c r="D611" s="3" t="s">
        <v>52</v>
      </c>
      <c r="G611" s="15">
        <f>AVERAGE(E588:E593)/AVERAGE(F588:F593)</f>
        <v>0.12026214322011328</v>
      </c>
      <c r="H611" s="202">
        <f>+IF(G611&gt;15%,100,IF(G611&gt;10%,80,IF(G611&gt;5%,60,IF(G611&gt;3%,50,IF(G611&gt;1.5%,20,IF(G611&lt;1.5%,10,IF(G611=0,0,-10)))))))</f>
        <v>80</v>
      </c>
      <c r="I611" t="s">
        <v>53</v>
      </c>
    </row>
    <row r="612" spans="2:21" ht="14.65" thickBot="1">
      <c r="D612" s="6" t="s">
        <v>54</v>
      </c>
      <c r="E612" s="291"/>
      <c r="F612" s="291"/>
      <c r="G612" s="292">
        <f>1 - (STDEV(F588:F593)/AVERAGE(F588:F593))</f>
        <v>0.20578073278914544</v>
      </c>
      <c r="H612" s="293">
        <f>MAX(0,MIN(100,G612*100))</f>
        <v>20.578073278914545</v>
      </c>
      <c r="I612" t="s">
        <v>55</v>
      </c>
    </row>
    <row r="613" spans="2:21" ht="14.65" thickBot="1">
      <c r="H613" s="18" t="s">
        <v>40</v>
      </c>
    </row>
    <row r="614" spans="2:21">
      <c r="B614" s="503"/>
      <c r="C614" s="504"/>
      <c r="D614" s="324"/>
      <c r="E614" s="324"/>
      <c r="F614" s="286"/>
      <c r="G614" s="325"/>
      <c r="H614" s="325"/>
    </row>
    <row r="615" spans="2:21">
      <c r="B615" s="489"/>
      <c r="C615" s="490"/>
      <c r="F615" s="8"/>
      <c r="G615" s="294"/>
      <c r="H615" s="294"/>
    </row>
    <row r="616" spans="2:21">
      <c r="B616" s="493" t="s">
        <v>56</v>
      </c>
      <c r="C616" s="494"/>
      <c r="D616" t="s">
        <v>57</v>
      </c>
      <c r="F616" s="8"/>
      <c r="G616" s="294">
        <f>(SUM(E588:E593)-MAX(E588:E593)-MIN(E588:E593))/(COUNT(E588:E593)-2)</f>
        <v>61154.742500000015</v>
      </c>
      <c r="H616" s="295"/>
      <c r="I616" t="s">
        <v>58</v>
      </c>
    </row>
    <row r="617" spans="2:21">
      <c r="B617" s="493" t="s">
        <v>56</v>
      </c>
      <c r="C617" s="494"/>
      <c r="D617" t="s">
        <v>59</v>
      </c>
      <c r="F617" s="8"/>
      <c r="G617" s="294">
        <f>+G616/G599</f>
        <v>2.6934672298945959</v>
      </c>
      <c r="H617" s="295">
        <f>IF(G617&lt;0.5,0,IF(G617&lt;1,20,IF(G617&lt;2,50,IF(G617&lt;3,70,IF(G617&lt;5,90,100)))))</f>
        <v>70</v>
      </c>
      <c r="I617" t="s">
        <v>60</v>
      </c>
    </row>
    <row r="618" spans="2:21">
      <c r="B618" s="487" t="s">
        <v>61</v>
      </c>
      <c r="C618" s="488"/>
      <c r="D618" t="s">
        <v>30</v>
      </c>
      <c r="G618" s="294">
        <f>_xlfn.STDEV.S(F588:F593)/AVERAGE(F588:F593)</f>
        <v>0.79421926721085456</v>
      </c>
      <c r="H618" s="294">
        <f>MAX(0,100-(G618*40))</f>
        <v>68.231229311565812</v>
      </c>
      <c r="I618" s="17" t="s">
        <v>62</v>
      </c>
    </row>
    <row r="619" spans="2:21">
      <c r="B619" s="505" t="s">
        <v>63</v>
      </c>
      <c r="C619" s="506"/>
      <c r="D619" t="s">
        <v>64</v>
      </c>
      <c r="G619" s="316">
        <f>((E593+E592+E591)/3)/((E588+E589+E590)/3)</f>
        <v>2.1213489712645273</v>
      </c>
      <c r="H619" s="374" t="str">
        <f>IF(G619&gt;=1.2,"liquidez mejora fuerte",IF(G619&gt;=1,"liquidez estable",IF(G619&gt;=0.8,"liquidez deteriora leve","liquidez deteriora fuerte")))</f>
        <v>liquidez mejora fuerte</v>
      </c>
      <c r="I619" t="s">
        <v>65</v>
      </c>
    </row>
    <row r="620" spans="2:21">
      <c r="B620" s="489"/>
      <c r="C620" s="490"/>
      <c r="G620" s="294"/>
      <c r="H620" s="294"/>
    </row>
    <row r="621" spans="2:21">
      <c r="B621" s="487" t="s">
        <v>61</v>
      </c>
      <c r="C621" s="488"/>
      <c r="D621" t="s">
        <v>66</v>
      </c>
      <c r="G621" s="294">
        <f>MIN(3,STDEV(R588:R593)/MAX(ABS(AVERAGE(R588:R593)),1000))</f>
        <v>3</v>
      </c>
      <c r="H621" s="294">
        <f>MAX(0,100-(G621*30))</f>
        <v>10</v>
      </c>
      <c r="I621" t="s">
        <v>67</v>
      </c>
      <c r="R621" t="s">
        <v>68</v>
      </c>
    </row>
    <row r="622" spans="2:21">
      <c r="B622" s="489"/>
      <c r="C622" s="490"/>
      <c r="G622" s="294"/>
      <c r="H622" s="294"/>
    </row>
    <row r="623" spans="2:21">
      <c r="B623" s="491" t="s">
        <v>69</v>
      </c>
      <c r="C623" s="492"/>
      <c r="D623" t="s">
        <v>70</v>
      </c>
      <c r="F623" s="7"/>
      <c r="G623" s="294">
        <f>G607-(STDEV(R588:R593)*0.25)</f>
        <v>6174.2730471874529</v>
      </c>
      <c r="H623" s="294"/>
      <c r="I623" t="s">
        <v>71</v>
      </c>
    </row>
    <row r="624" spans="2:21">
      <c r="B624" s="491" t="s">
        <v>69</v>
      </c>
      <c r="C624" s="492"/>
      <c r="D624" t="s">
        <v>72</v>
      </c>
      <c r="F624" s="7"/>
      <c r="G624" s="294">
        <f>+G623/G599</f>
        <v>0.27193642620637065</v>
      </c>
      <c r="H624" s="296"/>
      <c r="I624" t="s">
        <v>73</v>
      </c>
      <c r="U624" t="s">
        <v>353</v>
      </c>
    </row>
    <row r="625" spans="2:17">
      <c r="B625" s="491" t="s">
        <v>69</v>
      </c>
      <c r="C625" s="492"/>
      <c r="D625" t="s">
        <v>74</v>
      </c>
      <c r="G625" s="297">
        <f>+G624/P630</f>
        <v>0.10877457048254827</v>
      </c>
      <c r="H625" s="294">
        <f>IF((G624/P630)&gt;=1.5,100,IF((G624/P630)&gt;=1.2,80,IF((G624/P630)&gt;=1,60,IF((G624/P630)&gt;=0.8,40,0))))</f>
        <v>0</v>
      </c>
    </row>
    <row r="626" spans="2:17">
      <c r="B626" s="493" t="s">
        <v>56</v>
      </c>
      <c r="C626" s="494"/>
      <c r="D626" t="s">
        <v>75</v>
      </c>
      <c r="F626" s="7"/>
      <c r="G626" s="294">
        <f>SUM(F588:F593)/SUM(G588:G593)</f>
        <v>1.0355447633582142</v>
      </c>
      <c r="H626" s="371">
        <f>IF(G626&gt;=1.1,100,IF(G626&gt;=1.05,80,IF(G626&gt;=1,70,IF(G626&gt;=0.95,50,IF(G626&gt;=0.85,35,10)))))</f>
        <v>70</v>
      </c>
      <c r="I626" t="s">
        <v>76</v>
      </c>
      <c r="Q626" s="23" t="s">
        <v>359</v>
      </c>
    </row>
    <row r="627" spans="2:17" ht="14.65" thickBot="1">
      <c r="B627" s="495" t="s">
        <v>69</v>
      </c>
      <c r="C627" s="496"/>
      <c r="D627" s="291" t="s">
        <v>15</v>
      </c>
      <c r="E627" s="291"/>
      <c r="F627" s="298"/>
      <c r="G627" s="299">
        <f>+(F597-G597)/F597</f>
        <v>4.4897690539256491E-2</v>
      </c>
      <c r="H627" s="300">
        <f>IF(G627&gt;=0.2,100,
IF(G627&gt;=0.1,80,
IF(G627&gt;=0.05,60,
IF(G627&gt;=0,40,
IF(G627&gt;=-0.05,20,0)))))</f>
        <v>40</v>
      </c>
      <c r="I627" t="s">
        <v>77</v>
      </c>
    </row>
    <row r="628" spans="2:17" ht="14.65" thickBot="1"/>
    <row r="629" spans="2:17">
      <c r="B629" s="497" t="s">
        <v>78</v>
      </c>
      <c r="C629" s="498"/>
      <c r="D629" s="189" t="s">
        <v>79</v>
      </c>
      <c r="E629" s="189" t="s">
        <v>40</v>
      </c>
      <c r="F629" s="183"/>
      <c r="I629" s="253" t="s">
        <v>80</v>
      </c>
      <c r="J629" s="375">
        <v>3</v>
      </c>
      <c r="K629" s="256" t="s">
        <v>81</v>
      </c>
      <c r="L629" s="256"/>
      <c r="M629" s="256"/>
      <c r="N629" s="256"/>
      <c r="O629" s="256"/>
      <c r="P629" s="254" t="s">
        <v>82</v>
      </c>
      <c r="Q629" s="254" t="s">
        <v>83</v>
      </c>
    </row>
    <row r="630" spans="2:17">
      <c r="B630" s="184"/>
      <c r="C630" s="182" t="s">
        <v>84</v>
      </c>
      <c r="D630" s="185">
        <v>0.6</v>
      </c>
      <c r="E630" s="15">
        <f>+H625</f>
        <v>0</v>
      </c>
      <c r="F630" s="181"/>
      <c r="I630" s="24" t="s">
        <v>85</v>
      </c>
      <c r="J630" s="4">
        <v>2.75</v>
      </c>
      <c r="K630" s="421">
        <v>48</v>
      </c>
      <c r="L630" s="256"/>
      <c r="M630" s="256"/>
      <c r="N630" s="256"/>
      <c r="O630" s="256"/>
      <c r="P630" s="254">
        <f>+IF(K630&lt;=24,J629,IF(K630&lt;=36,J630,IF(K630&lt;=48,J631,IF(K630&lt;=60,J632,"2"))))</f>
        <v>2.5</v>
      </c>
      <c r="Q630" s="255">
        <f>+IF(K630&lt;24,30.2%,IF(K630&lt;36,26%,IF(K630&lt;48,24.55%,IF(K630&lt;60,23.82%,"0%"))))</f>
        <v>0.2382</v>
      </c>
    </row>
    <row r="631" spans="2:17">
      <c r="B631" s="184"/>
      <c r="C631" s="182" t="s">
        <v>86</v>
      </c>
      <c r="D631" s="185">
        <v>0.25</v>
      </c>
      <c r="E631" s="15">
        <f>+H609</f>
        <v>0</v>
      </c>
      <c r="F631" s="181"/>
      <c r="I631" s="24" t="s">
        <v>87</v>
      </c>
      <c r="J631" s="4">
        <v>2.5</v>
      </c>
    </row>
    <row r="632" spans="2:17" ht="14.65" thickBot="1">
      <c r="B632" s="184"/>
      <c r="C632" s="182" t="s">
        <v>15</v>
      </c>
      <c r="D632" s="185">
        <v>0.15</v>
      </c>
      <c r="E632" s="15">
        <f>+H627</f>
        <v>40</v>
      </c>
      <c r="F632" s="181"/>
      <c r="I632" s="50" t="s">
        <v>88</v>
      </c>
      <c r="J632" s="317">
        <v>2.25</v>
      </c>
    </row>
    <row r="633" spans="2:17" ht="14.65" thickBot="1">
      <c r="B633" s="186"/>
      <c r="C633" s="187"/>
      <c r="D633" s="187"/>
      <c r="E633" s="188" t="s">
        <v>89</v>
      </c>
      <c r="F633" s="195">
        <f>E630*D630 + E631*D631 + E632*D632</f>
        <v>6</v>
      </c>
    </row>
    <row r="634" spans="2:17" ht="14.65" thickBot="1">
      <c r="B634" s="499" t="s">
        <v>90</v>
      </c>
      <c r="C634" s="500"/>
      <c r="D634" s="189" t="s">
        <v>79</v>
      </c>
      <c r="E634" s="189" t="s">
        <v>40</v>
      </c>
      <c r="F634" s="183"/>
      <c r="H634" s="9"/>
      <c r="I634" s="313" t="s">
        <v>91</v>
      </c>
      <c r="J634" s="314"/>
      <c r="K634" s="315" t="s">
        <v>92</v>
      </c>
      <c r="L634" s="410"/>
      <c r="M634" s="410"/>
      <c r="N634" s="410"/>
      <c r="O634" s="410"/>
      <c r="P634" s="314"/>
    </row>
    <row r="635" spans="2:17">
      <c r="B635" s="184"/>
      <c r="C635" s="182" t="s">
        <v>93</v>
      </c>
      <c r="D635" s="190">
        <v>0.5</v>
      </c>
      <c r="E635" s="15">
        <f>+H617</f>
        <v>70</v>
      </c>
      <c r="F635" s="181"/>
      <c r="H635" s="182" t="s">
        <v>94</v>
      </c>
      <c r="I635" s="476">
        <f>+G602/P630</f>
        <v>25529.430000000004</v>
      </c>
      <c r="J635" s="477"/>
      <c r="K635" s="478">
        <f>ABS(PV(Q630/12,K630,I635))</f>
        <v>785462.7971714976</v>
      </c>
      <c r="L635" s="479"/>
      <c r="M635" s="479"/>
      <c r="N635" s="479"/>
      <c r="O635" s="479"/>
      <c r="P635" s="480"/>
    </row>
    <row r="636" spans="2:17">
      <c r="B636" s="184"/>
      <c r="C636" s="182" t="s">
        <v>95</v>
      </c>
      <c r="D636" s="190">
        <v>0.3</v>
      </c>
      <c r="E636" s="15">
        <f>+H626</f>
        <v>70</v>
      </c>
      <c r="F636" s="181"/>
      <c r="H636" s="182" t="s">
        <v>96</v>
      </c>
      <c r="I636" s="476">
        <f>+G601/P630</f>
        <v>212281.51533333334</v>
      </c>
      <c r="J636" s="477"/>
      <c r="K636" s="478">
        <f>ABS(PV(Q630/12,K630,I636))</f>
        <v>6531255.6066282783</v>
      </c>
      <c r="L636" s="479"/>
      <c r="M636" s="479"/>
      <c r="N636" s="479"/>
      <c r="O636" s="479"/>
      <c r="P636" s="480"/>
    </row>
    <row r="637" spans="2:17" ht="14.65" thickBot="1">
      <c r="B637" s="184"/>
      <c r="C637" s="8" t="s">
        <v>97</v>
      </c>
      <c r="D637" s="185">
        <v>0.2</v>
      </c>
      <c r="E637" s="15">
        <f>+H611</f>
        <v>80</v>
      </c>
      <c r="F637" s="181"/>
      <c r="H637" s="257" t="s">
        <v>98</v>
      </c>
      <c r="I637" s="481">
        <f>+G603/P630</f>
        <v>42222.709599999995</v>
      </c>
      <c r="J637" s="482"/>
      <c r="K637" s="483">
        <f>ABS(PV(Q630/12,K630,I637))</f>
        <v>1299064.1618937766</v>
      </c>
      <c r="L637" s="484"/>
      <c r="M637" s="484"/>
      <c r="N637" s="484"/>
      <c r="O637" s="484"/>
      <c r="P637" s="485"/>
    </row>
    <row r="638" spans="2:17" ht="14.65" thickBot="1">
      <c r="B638" s="191"/>
      <c r="C638" s="182"/>
      <c r="D638" s="187"/>
      <c r="E638" s="188" t="s">
        <v>89</v>
      </c>
      <c r="F638" s="195">
        <f xml:space="preserve"> E635*D635 + E636*D636+E637*D637</f>
        <v>72</v>
      </c>
    </row>
    <row r="639" spans="2:17">
      <c r="B639" s="196" t="s">
        <v>99</v>
      </c>
      <c r="C639" s="197"/>
      <c r="D639" s="189" t="s">
        <v>79</v>
      </c>
      <c r="E639" s="189" t="s">
        <v>40</v>
      </c>
      <c r="F639" s="183"/>
      <c r="I639" s="486" t="s">
        <v>100</v>
      </c>
      <c r="J639" s="486"/>
      <c r="P639" s="8"/>
    </row>
    <row r="640" spans="2:17">
      <c r="B640" s="184"/>
      <c r="C640" s="182" t="s">
        <v>101</v>
      </c>
      <c r="D640" s="7">
        <v>0.6</v>
      </c>
      <c r="E640" s="15">
        <f>+H621</f>
        <v>10</v>
      </c>
      <c r="F640" s="181"/>
      <c r="I640" t="s">
        <v>102</v>
      </c>
      <c r="J640" t="s">
        <v>103</v>
      </c>
    </row>
    <row r="641" spans="1:42" ht="14.65" thickBot="1">
      <c r="B641" s="184"/>
      <c r="C641" s="182" t="s">
        <v>104</v>
      </c>
      <c r="D641" s="7">
        <v>0.4</v>
      </c>
      <c r="E641" s="201">
        <f>+H612</f>
        <v>20.578073278914545</v>
      </c>
      <c r="F641" s="181"/>
      <c r="I641" s="8" t="s">
        <v>105</v>
      </c>
      <c r="J641" t="s">
        <v>106</v>
      </c>
    </row>
    <row r="642" spans="1:42" ht="14.65" thickBot="1">
      <c r="B642" s="192"/>
      <c r="E642" s="193" t="s">
        <v>89</v>
      </c>
      <c r="F642" s="195">
        <f xml:space="preserve"> E640*D640 + E641*D641</f>
        <v>14.231229311565817</v>
      </c>
      <c r="I642" s="8" t="s">
        <v>107</v>
      </c>
      <c r="J642" t="s">
        <v>108</v>
      </c>
    </row>
    <row r="643" spans="1:42">
      <c r="B643" s="198" t="s">
        <v>109</v>
      </c>
      <c r="C643" s="199"/>
      <c r="D643" s="189" t="s">
        <v>79</v>
      </c>
      <c r="E643" s="189" t="s">
        <v>40</v>
      </c>
      <c r="F643" s="183"/>
      <c r="I643" s="8" t="s">
        <v>110</v>
      </c>
      <c r="J643" t="s">
        <v>111</v>
      </c>
    </row>
    <row r="644" spans="1:42" ht="14.65" thickBot="1">
      <c r="B644" s="194"/>
      <c r="C644" s="182" t="s">
        <v>112</v>
      </c>
      <c r="D644" s="7">
        <v>1</v>
      </c>
      <c r="E644" s="2">
        <f>+H605</f>
        <v>80</v>
      </c>
      <c r="F644" s="181"/>
      <c r="I644" s="8" t="s">
        <v>113</v>
      </c>
      <c r="J644" t="s">
        <v>114</v>
      </c>
    </row>
    <row r="645" spans="1:42" ht="14.65" thickBot="1">
      <c r="B645" s="186"/>
      <c r="C645" s="187"/>
      <c r="D645" s="187"/>
      <c r="E645" s="188" t="s">
        <v>89</v>
      </c>
      <c r="F645" s="195">
        <f>+ E644*D644</f>
        <v>80</v>
      </c>
      <c r="I645" s="8" t="s">
        <v>115</v>
      </c>
      <c r="J645" t="s">
        <v>106</v>
      </c>
    </row>
    <row r="646" spans="1:42" ht="14.65" thickBot="1">
      <c r="I646" s="8" t="s">
        <v>350</v>
      </c>
      <c r="J646" t="s">
        <v>108</v>
      </c>
    </row>
    <row r="647" spans="1:42">
      <c r="E647" s="423" t="s">
        <v>116</v>
      </c>
      <c r="F647" s="424">
        <f>(F633*0.4)+
(F638*0.3)+
(F642*0.2)+
(F645*0.1)</f>
        <v>34.846245862313168</v>
      </c>
    </row>
    <row r="648" spans="1:42">
      <c r="E648" s="425" t="s">
        <v>117</v>
      </c>
      <c r="F648" s="426">
        <f>MIN(1000,MAX(0,F647*10))</f>
        <v>348.46245862313168</v>
      </c>
    </row>
    <row r="649" spans="1:42" ht="14.65" thickBot="1"/>
    <row r="650" spans="1:42" ht="27" thickBot="1">
      <c r="A650" s="453" t="s">
        <v>397</v>
      </c>
      <c r="B650" s="454"/>
      <c r="C650" s="454"/>
      <c r="D650" s="454"/>
      <c r="E650" s="454"/>
      <c r="F650" s="388"/>
      <c r="G650" s="388"/>
      <c r="H650" s="389"/>
      <c r="I650" s="386"/>
      <c r="J650" s="386"/>
      <c r="K650" s="386"/>
      <c r="L650" s="386"/>
      <c r="M650" s="386"/>
      <c r="N650" s="386"/>
      <c r="O650" s="386"/>
      <c r="P650" s="386"/>
      <c r="Q650" s="386"/>
      <c r="R650" s="386"/>
      <c r="S650" s="386"/>
      <c r="T650" s="386"/>
      <c r="U650" s="386"/>
      <c r="V650" s="386"/>
      <c r="W650" s="386"/>
      <c r="X650" s="386"/>
      <c r="Y650" s="386"/>
      <c r="Z650" s="386"/>
      <c r="AA650" s="386"/>
      <c r="AB650" s="386"/>
      <c r="AC650" s="386"/>
      <c r="AD650" s="386"/>
      <c r="AE650" s="386"/>
      <c r="AF650" s="386"/>
      <c r="AG650" s="386"/>
      <c r="AH650" s="386"/>
      <c r="AI650" s="386"/>
      <c r="AJ650" s="386"/>
      <c r="AK650" s="386"/>
      <c r="AL650" s="386"/>
      <c r="AM650" s="386"/>
      <c r="AN650" s="386"/>
      <c r="AO650" s="386"/>
      <c r="AP650" s="390"/>
    </row>
    <row r="651" spans="1:42" ht="42.75" customHeight="1" thickBot="1">
      <c r="B651" s="405" t="s">
        <v>1</v>
      </c>
      <c r="C651" s="406" t="s">
        <v>2</v>
      </c>
      <c r="D651" s="406" t="s">
        <v>3</v>
      </c>
      <c r="E651" s="406" t="s">
        <v>4</v>
      </c>
      <c r="F651" s="406" t="s">
        <v>5</v>
      </c>
      <c r="G651" s="406" t="s">
        <v>6</v>
      </c>
      <c r="H651" s="406" t="s">
        <v>7</v>
      </c>
      <c r="I651" s="407" t="s">
        <v>388</v>
      </c>
      <c r="J651" s="407" t="s">
        <v>385</v>
      </c>
      <c r="K651" s="406" t="s">
        <v>386</v>
      </c>
      <c r="L651" s="406" t="s">
        <v>391</v>
      </c>
      <c r="M651" s="406" t="s">
        <v>392</v>
      </c>
      <c r="N651" s="406" t="s">
        <v>389</v>
      </c>
      <c r="O651" s="406" t="s">
        <v>390</v>
      </c>
      <c r="P651" s="406" t="s">
        <v>11</v>
      </c>
      <c r="Q651" s="406" t="s">
        <v>12</v>
      </c>
      <c r="R651" s="406" t="s">
        <v>13</v>
      </c>
      <c r="S651" s="406" t="s">
        <v>14</v>
      </c>
      <c r="T651" s="406" t="s">
        <v>15</v>
      </c>
      <c r="U651" s="406" t="s">
        <v>16</v>
      </c>
      <c r="V651" s="408" t="s">
        <v>17</v>
      </c>
      <c r="X651" s="394" t="s">
        <v>18</v>
      </c>
      <c r="Y651" s="395" t="s">
        <v>19</v>
      </c>
      <c r="Z651" s="394" t="s">
        <v>20</v>
      </c>
    </row>
    <row r="652" spans="1:42" ht="27.75" thickBot="1">
      <c r="B652" s="248">
        <v>1</v>
      </c>
      <c r="C652" s="396" t="s">
        <v>379</v>
      </c>
      <c r="D652">
        <v>126</v>
      </c>
      <c r="E652">
        <v>72570.179999999993</v>
      </c>
      <c r="F652">
        <v>2133087.16</v>
      </c>
      <c r="G652">
        <v>2060642.98</v>
      </c>
      <c r="H652">
        <v>0</v>
      </c>
      <c r="I652">
        <v>0</v>
      </c>
      <c r="J652" s="399">
        <v>33</v>
      </c>
      <c r="K652" s="400">
        <v>0</v>
      </c>
      <c r="L652" s="400"/>
      <c r="M652" s="400"/>
      <c r="N652" s="400"/>
      <c r="O652" s="400"/>
      <c r="P652" s="401" t="e">
        <f t="shared" ref="P652:P657" si="51">+F652/I652</f>
        <v>#DIV/0!</v>
      </c>
      <c r="Q652" s="401">
        <f t="shared" ref="Q652:Q657" si="52">+G652/J652</f>
        <v>62443.726666666669</v>
      </c>
      <c r="R652" s="397">
        <f t="shared" ref="R652:R657" si="53">+F652-G652</f>
        <v>72444.180000000168</v>
      </c>
      <c r="S652" s="402">
        <f t="shared" ref="S652:S657" si="54">+G652/F652</f>
        <v>0.96603787160764676</v>
      </c>
      <c r="T652" s="403">
        <f t="shared" ref="T652:T657" si="55">(+F652-G652)/F652</f>
        <v>3.3962128392353248E-2</v>
      </c>
      <c r="U652" s="400">
        <v>0</v>
      </c>
      <c r="V652" s="404">
        <v>26</v>
      </c>
      <c r="X652" s="12" t="s">
        <v>21</v>
      </c>
      <c r="Y652" s="13" t="s">
        <v>22</v>
      </c>
      <c r="Z652" s="12" t="s">
        <v>23</v>
      </c>
    </row>
    <row r="653" spans="1:42" ht="28.15" thickBot="1">
      <c r="B653" s="249">
        <v>2</v>
      </c>
      <c r="C653" s="301" t="s">
        <v>380</v>
      </c>
      <c r="D653">
        <v>72570.179999999993</v>
      </c>
      <c r="E653">
        <v>287391.74</v>
      </c>
      <c r="F653">
        <v>1689837.97</v>
      </c>
      <c r="G653">
        <v>1475016.41</v>
      </c>
      <c r="H653">
        <v>0</v>
      </c>
      <c r="I653">
        <v>0</v>
      </c>
      <c r="J653" s="304">
        <v>46</v>
      </c>
      <c r="K653" s="305">
        <v>0</v>
      </c>
      <c r="L653" s="305"/>
      <c r="M653" s="305"/>
      <c r="N653" s="305"/>
      <c r="O653" s="305"/>
      <c r="P653" s="306" t="e">
        <f t="shared" si="51"/>
        <v>#DIV/0!</v>
      </c>
      <c r="Q653" s="306">
        <f t="shared" si="52"/>
        <v>32065.574130434779</v>
      </c>
      <c r="R653" s="302">
        <f t="shared" si="53"/>
        <v>214821.56000000006</v>
      </c>
      <c r="S653" s="307">
        <f t="shared" si="54"/>
        <v>0.87287446263265112</v>
      </c>
      <c r="T653" s="308">
        <f t="shared" si="55"/>
        <v>0.12712553736734894</v>
      </c>
      <c r="U653" s="305">
        <v>0</v>
      </c>
      <c r="V653" s="310">
        <v>401.19</v>
      </c>
      <c r="X653" s="12" t="s">
        <v>24</v>
      </c>
      <c r="Y653" s="13" t="s">
        <v>25</v>
      </c>
      <c r="Z653" s="12" t="s">
        <v>26</v>
      </c>
    </row>
    <row r="654" spans="1:42" ht="27.75" thickBot="1">
      <c r="B654" s="249">
        <v>3</v>
      </c>
      <c r="C654" s="301" t="s">
        <v>381</v>
      </c>
      <c r="D654">
        <v>287391.74</v>
      </c>
      <c r="E654">
        <v>76170.559999999998</v>
      </c>
      <c r="F654">
        <v>346825.4</v>
      </c>
      <c r="G654">
        <v>558046.57999999996</v>
      </c>
      <c r="H654">
        <v>0</v>
      </c>
      <c r="I654">
        <v>0</v>
      </c>
      <c r="J654" s="304">
        <v>40</v>
      </c>
      <c r="K654" s="305">
        <v>0</v>
      </c>
      <c r="L654" s="305"/>
      <c r="M654" s="305"/>
      <c r="N654" s="305"/>
      <c r="O654" s="305"/>
      <c r="P654" s="306" t="e">
        <f t="shared" si="51"/>
        <v>#DIV/0!</v>
      </c>
      <c r="Q654" s="306">
        <f t="shared" si="52"/>
        <v>13951.164499999999</v>
      </c>
      <c r="R654" s="302">
        <f t="shared" si="53"/>
        <v>-211221.17999999993</v>
      </c>
      <c r="S654" s="307">
        <f t="shared" si="54"/>
        <v>1.6090130076978213</v>
      </c>
      <c r="T654" s="308">
        <f t="shared" si="55"/>
        <v>-0.60901300769782118</v>
      </c>
      <c r="U654" s="305">
        <v>0</v>
      </c>
      <c r="V654" s="309"/>
      <c r="X654" s="12" t="s">
        <v>27</v>
      </c>
      <c r="Y654" s="13" t="s">
        <v>28</v>
      </c>
      <c r="Z654" s="14" t="s">
        <v>29</v>
      </c>
    </row>
    <row r="655" spans="1:42" ht="27.75" thickBot="1">
      <c r="B655" s="249">
        <v>4</v>
      </c>
      <c r="C655" s="301" t="s">
        <v>382</v>
      </c>
      <c r="D655">
        <v>76170.559999999998</v>
      </c>
      <c r="E655">
        <v>1070.74</v>
      </c>
      <c r="F655">
        <v>97762</v>
      </c>
      <c r="G655">
        <v>172861.82</v>
      </c>
      <c r="H655">
        <v>0</v>
      </c>
      <c r="I655">
        <v>0</v>
      </c>
      <c r="J655" s="304">
        <v>39</v>
      </c>
      <c r="K655" s="305">
        <v>0</v>
      </c>
      <c r="L655" s="305"/>
      <c r="M655" s="305"/>
      <c r="N655" s="305"/>
      <c r="O655" s="305"/>
      <c r="P655" s="306" t="e">
        <f t="shared" si="51"/>
        <v>#DIV/0!</v>
      </c>
      <c r="Q655" s="306">
        <f t="shared" si="52"/>
        <v>4432.3543589743595</v>
      </c>
      <c r="R655" s="302">
        <f t="shared" si="53"/>
        <v>-75099.820000000007</v>
      </c>
      <c r="S655" s="307">
        <f t="shared" si="54"/>
        <v>1.7681902988891389</v>
      </c>
      <c r="T655" s="308">
        <f t="shared" si="55"/>
        <v>-0.76819029888913903</v>
      </c>
      <c r="U655" s="305">
        <v>0</v>
      </c>
      <c r="V655" s="310">
        <v>390</v>
      </c>
      <c r="X655" s="12" t="s">
        <v>30</v>
      </c>
      <c r="Y655" s="13" t="s">
        <v>31</v>
      </c>
      <c r="Z655" s="12" t="s">
        <v>32</v>
      </c>
    </row>
    <row r="656" spans="1:42" ht="14.65" thickBot="1">
      <c r="B656" s="249">
        <v>5</v>
      </c>
      <c r="C656" s="301" t="s">
        <v>383</v>
      </c>
      <c r="D656">
        <v>1070.74</v>
      </c>
      <c r="E656">
        <v>5164.97</v>
      </c>
      <c r="F656">
        <v>520089.1</v>
      </c>
      <c r="G656">
        <v>515994.93</v>
      </c>
      <c r="H656">
        <v>0</v>
      </c>
      <c r="I656">
        <v>0</v>
      </c>
      <c r="J656" s="304">
        <v>29</v>
      </c>
      <c r="K656" s="305"/>
      <c r="L656" s="305"/>
      <c r="M656" s="305"/>
      <c r="N656" s="305"/>
      <c r="O656" s="305"/>
      <c r="P656" s="306" t="e">
        <f t="shared" si="51"/>
        <v>#DIV/0!</v>
      </c>
      <c r="Q656" s="306">
        <f t="shared" si="52"/>
        <v>17792.928620689654</v>
      </c>
      <c r="R656" s="302">
        <f t="shared" si="53"/>
        <v>4094.1699999999837</v>
      </c>
      <c r="S656" s="307">
        <f t="shared" si="54"/>
        <v>0.9921279450001933</v>
      </c>
      <c r="T656" s="308">
        <f t="shared" si="55"/>
        <v>7.8720549998067321E-3</v>
      </c>
      <c r="U656" s="305"/>
      <c r="V656" s="303">
        <v>1067.03</v>
      </c>
      <c r="X656" s="12"/>
      <c r="Y656" s="13"/>
      <c r="Z656" s="12"/>
    </row>
    <row r="657" spans="2:26" ht="27.75" thickBot="1">
      <c r="B657" s="250">
        <v>6</v>
      </c>
      <c r="C657" s="301" t="s">
        <v>384</v>
      </c>
      <c r="D657">
        <v>5164.97</v>
      </c>
      <c r="E657">
        <v>3597.49</v>
      </c>
      <c r="F657">
        <v>402308.85</v>
      </c>
      <c r="G657">
        <v>403876.33</v>
      </c>
      <c r="H657">
        <v>0</v>
      </c>
      <c r="I657">
        <v>0</v>
      </c>
      <c r="J657" s="304">
        <v>25</v>
      </c>
      <c r="K657" s="305">
        <v>0</v>
      </c>
      <c r="L657" s="305"/>
      <c r="M657" s="305"/>
      <c r="N657" s="305"/>
      <c r="O657" s="305"/>
      <c r="P657" s="306" t="e">
        <f t="shared" si="51"/>
        <v>#DIV/0!</v>
      </c>
      <c r="Q657" s="306">
        <f t="shared" si="52"/>
        <v>16155.0532</v>
      </c>
      <c r="R657" s="302">
        <f t="shared" si="53"/>
        <v>-1567.4800000000396</v>
      </c>
      <c r="S657" s="307">
        <f t="shared" si="54"/>
        <v>1.0038962105854745</v>
      </c>
      <c r="T657" s="308">
        <f t="shared" si="55"/>
        <v>-3.8962105854744179E-3</v>
      </c>
      <c r="U657" s="305">
        <v>0</v>
      </c>
      <c r="V657" s="309">
        <v>390</v>
      </c>
      <c r="X657" s="12" t="s">
        <v>33</v>
      </c>
      <c r="Y657" s="13" t="s">
        <v>34</v>
      </c>
      <c r="Z657" s="12" t="s">
        <v>35</v>
      </c>
    </row>
    <row r="658" spans="2:26">
      <c r="C658" s="270" t="s">
        <v>36</v>
      </c>
      <c r="D658" s="262"/>
      <c r="E658" s="262"/>
      <c r="F658" s="271">
        <f>SUM(F652:F657)</f>
        <v>5189910.4799999986</v>
      </c>
      <c r="G658" s="271">
        <f>SUM(G652:G657)</f>
        <v>5186439.05</v>
      </c>
      <c r="I658" s="2"/>
      <c r="J658" s="2"/>
      <c r="Q658" s="264"/>
      <c r="R658" s="262"/>
      <c r="S658" s="266"/>
      <c r="T658" s="267"/>
    </row>
    <row r="659" spans="2:26" ht="14.65" thickBot="1">
      <c r="D659" s="262"/>
      <c r="E659" s="262"/>
      <c r="I659" s="2"/>
      <c r="J659" s="2"/>
      <c r="P659" s="263"/>
      <c r="Q659" s="264"/>
      <c r="R659" s="262"/>
      <c r="S659" s="266"/>
      <c r="T659" s="267"/>
      <c r="X659" s="268"/>
      <c r="Y659" s="269"/>
      <c r="Z659" s="268"/>
    </row>
    <row r="660" spans="2:26" ht="14.65" thickBot="1">
      <c r="C660" s="16" t="s">
        <v>37</v>
      </c>
      <c r="D660" s="272"/>
      <c r="E660" s="272">
        <f>+G666</f>
        <v>74327.613333333327</v>
      </c>
      <c r="F660" s="272">
        <f>+G665</f>
        <v>864985.07999999973</v>
      </c>
      <c r="G660" s="273">
        <f>+AVERAGE(G652:G657)</f>
        <v>864406.5083333333</v>
      </c>
      <c r="I660" s="276">
        <f>+AVERAGE(I652:I657)</f>
        <v>0</v>
      </c>
      <c r="J660" s="277">
        <f>+AVERAGE(J652:J657)</f>
        <v>35.333333333333336</v>
      </c>
      <c r="P660" s="311" t="e">
        <f>+AVERAGE(P652:P657)</f>
        <v>#DIV/0!</v>
      </c>
      <c r="Q660" s="272">
        <f>+AVERAGE(Q652:Q657)</f>
        <v>24473.466912794243</v>
      </c>
      <c r="R660" s="273">
        <f>+AVERAGE(R652:R657)</f>
        <v>578.57166666670435</v>
      </c>
      <c r="S660" s="9"/>
      <c r="T660" s="9"/>
      <c r="X660" s="268"/>
      <c r="Y660" s="269"/>
      <c r="Z660" s="268"/>
    </row>
    <row r="661" spans="2:26" ht="14.65" thickBot="1">
      <c r="C661" s="6" t="s">
        <v>38</v>
      </c>
      <c r="D661" s="274"/>
      <c r="E661" s="274">
        <f>(E652*0.05)+(E653*0.1)+(E654*0.1)+(E655*0.15)+(E656*0.25)+(E657*0.35)</f>
        <v>42695.714</v>
      </c>
      <c r="F661" s="274">
        <f>(F652*0.05)+(F653*0.1)+(F654*0.1)+(F655*0.15)+(F656*0.25)+(F657*0.35)</f>
        <v>595815.36749999993</v>
      </c>
      <c r="G661" s="275">
        <f>(G652*0.05)+(G653*0.1)+(G654*0.1)+(G655*0.15)+(G656*0.25)+(G657*0.35)</f>
        <v>602623.16899999999</v>
      </c>
      <c r="I661" s="9"/>
      <c r="P661" s="312" t="e">
        <f>(P652*0.05)+(P653*0.1)+(P654*0.1)+(P655*0.15)+(P656*0.25)+(P657*0.35)</f>
        <v>#DIV/0!</v>
      </c>
      <c r="Q661" s="274">
        <f>(Q652*0.05)+(Q653*0.1)+(Q654*0.1)+(Q655*0.15)+(Q656*0.25)+(Q657*0.35)</f>
        <v>18491.214125395378</v>
      </c>
      <c r="R661" s="275">
        <f>(R652*0.05)+(R653*0.1)+(R654*0.1)+(R655*0.15)+(R656*0.25)+(R657*0.35)</f>
        <v>-6807.8014999999968</v>
      </c>
      <c r="S661" s="9"/>
      <c r="T661" s="9"/>
    </row>
    <row r="662" spans="2:26" ht="14.65" thickBot="1"/>
    <row r="663" spans="2:26" ht="14.65" thickBot="1">
      <c r="D663" s="283" t="s">
        <v>39</v>
      </c>
      <c r="E663" s="284"/>
      <c r="F663" s="284"/>
      <c r="G663" s="429">
        <v>14479.68</v>
      </c>
    </row>
    <row r="664" spans="2:26" ht="14.65" thickBot="1">
      <c r="G664" s="278"/>
      <c r="H664" s="18" t="s">
        <v>40</v>
      </c>
    </row>
    <row r="665" spans="2:26">
      <c r="D665" s="16" t="s">
        <v>387</v>
      </c>
      <c r="E665" s="286"/>
      <c r="F665" s="286"/>
      <c r="G665" s="287">
        <f>+AVERAGE(F652:F657)</f>
        <v>864985.07999999973</v>
      </c>
      <c r="H665" s="288"/>
      <c r="I665" s="17" t="s">
        <v>41</v>
      </c>
    </row>
    <row r="666" spans="2:26">
      <c r="D666" s="3" t="s">
        <v>18</v>
      </c>
      <c r="G666" s="279">
        <f>+AVERAGE(E652:E657)</f>
        <v>74327.613333333327</v>
      </c>
      <c r="H666" s="289"/>
      <c r="I666" t="s">
        <v>42</v>
      </c>
    </row>
    <row r="667" spans="2:26">
      <c r="D667" s="3" t="s">
        <v>43</v>
      </c>
      <c r="G667" s="279">
        <f>(E657*0.5)+(E656*0.3)+(E655*0.2)</f>
        <v>3562.384</v>
      </c>
      <c r="H667" s="289"/>
    </row>
    <row r="668" spans="2:26">
      <c r="D668" s="3" t="s">
        <v>44</v>
      </c>
      <c r="G668" s="279">
        <f>AVERAGE(E652:E654)</f>
        <v>145377.49333333332</v>
      </c>
      <c r="H668" s="289"/>
    </row>
    <row r="669" spans="2:26">
      <c r="D669" s="3" t="s">
        <v>351</v>
      </c>
      <c r="G669" s="370">
        <f>(AVERAGE(H655:H657) - AVERAGE(H652:H654)) / MAX(ABS(AVERAGE(H652:H654)), 1000)</f>
        <v>0</v>
      </c>
      <c r="H669" s="4">
        <f>IF(G669&gt;=1.2,100,IF(G669&gt;=1,80,IF(G669&gt;=0.8,50,IF(G669&gt;=0.5,30,IF(G669&gt;=0.2,0,-20)))))</f>
        <v>-20</v>
      </c>
      <c r="I669" s="501" t="s">
        <v>354</v>
      </c>
      <c r="J669" s="502"/>
      <c r="K669" s="502"/>
      <c r="L669" s="502"/>
      <c r="M669" s="502"/>
      <c r="N669" s="502"/>
      <c r="O669" s="502"/>
      <c r="P669" s="502"/>
    </row>
    <row r="670" spans="2:26">
      <c r="D670" s="369" t="s">
        <v>352</v>
      </c>
      <c r="E670" s="23"/>
      <c r="F670" s="23"/>
      <c r="G670" s="370">
        <f>(AVERAGE(R655:R657) - AVERAGE(R652:R654)) / MAX(ABS(AVERAGE(R652:R654)), 1000)</f>
        <v>-1.9543500547573656</v>
      </c>
      <c r="H670" s="202">
        <f>IF(G670&gt;=1.2,100,IF(G670&gt;=1,80,IF(G670&gt;=0.8,50,IF(G670&gt;=0.5,30,IF(G670&gt;=0.2,0,-20)))))</f>
        <v>-20</v>
      </c>
      <c r="I670" s="502"/>
      <c r="J670" s="502"/>
      <c r="K670" s="502"/>
      <c r="L670" s="502"/>
      <c r="M670" s="502"/>
      <c r="N670" s="502"/>
      <c r="O670" s="502"/>
      <c r="P670" s="502"/>
    </row>
    <row r="671" spans="2:26">
      <c r="D671" s="3" t="s">
        <v>45</v>
      </c>
      <c r="G671" s="265">
        <f>(SUM(F652:F657)*G691)/6</f>
        <v>-9883.3414616511564</v>
      </c>
      <c r="H671" s="290"/>
      <c r="I671" t="s">
        <v>46</v>
      </c>
    </row>
    <row r="672" spans="2:26">
      <c r="D672" s="3" t="s">
        <v>47</v>
      </c>
      <c r="G672" s="265">
        <f>(R652*0.05)+(R653*0.1)+(R654*0.1)+(R655*0.15)+(R656*0.25)+(R657*0.35)</f>
        <v>-6807.8014999999968</v>
      </c>
      <c r="H672" s="290"/>
      <c r="I672" t="s">
        <v>48</v>
      </c>
    </row>
    <row r="673" spans="2:21">
      <c r="D673" s="3" t="s">
        <v>49</v>
      </c>
      <c r="F673" s="280" t="str">
        <f>+IF(G673&lt;0.75,"Muy Sano",IF(G673&lt;0.85,"Sano",IF(G673&lt;0.95,"Presionado",IF(G673&gt;0.95,"Riesgoso"))))</f>
        <v>Riesgoso</v>
      </c>
      <c r="G673" s="281">
        <f>(S652*0.05)+(S653*0.1)+(S654*0.1)+(S655*0.15)+(S656*0.25)+(S657*0.35)</f>
        <v>1.1611148454017648</v>
      </c>
      <c r="H673" s="202">
        <f>+IF(G673&lt;0.75,100,IF(G673&lt;0.8,80,IF(G673&lt;0.85,50,IF(G673&lt;0.9,30,IF(G673&lt;0.95,15,IF(G673&lt;1,0,-20))))))</f>
        <v>-20</v>
      </c>
      <c r="I673" t="s">
        <v>50</v>
      </c>
      <c r="S673" t="s">
        <v>355</v>
      </c>
    </row>
    <row r="674" spans="2:21">
      <c r="D674" s="3" t="s">
        <v>21</v>
      </c>
      <c r="G674" s="282">
        <f>+SUM(K652:K657)</f>
        <v>0</v>
      </c>
      <c r="H674" s="289"/>
      <c r="I674" t="s">
        <v>51</v>
      </c>
    </row>
    <row r="675" spans="2:21">
      <c r="D675" s="3" t="s">
        <v>52</v>
      </c>
      <c r="G675" s="15">
        <f>AVERAGE(E652:E657)/AVERAGE(F652:F657)</f>
        <v>8.5929358843199175E-2</v>
      </c>
      <c r="H675" s="202">
        <f>+IF(G675&gt;15%,100,IF(G675&gt;10%,80,IF(G675&gt;5%,60,IF(G675&gt;3%,50,IF(G675&gt;1.5%,20,IF(G675&lt;1.5%,10,IF(G675=0,0,-10)))))))</f>
        <v>60</v>
      </c>
      <c r="I675" t="s">
        <v>53</v>
      </c>
    </row>
    <row r="676" spans="2:21" ht="14.65" thickBot="1">
      <c r="D676" s="6" t="s">
        <v>54</v>
      </c>
      <c r="E676" s="291"/>
      <c r="F676" s="291"/>
      <c r="G676" s="292">
        <f>1 - (STDEV(F652:F657)/AVERAGE(F652:F657))</f>
        <v>3.5706691739656682E-2</v>
      </c>
      <c r="H676" s="293">
        <f>MAX(0,MIN(100,G676*100))</f>
        <v>3.5706691739656682</v>
      </c>
      <c r="I676" t="s">
        <v>55</v>
      </c>
    </row>
    <row r="677" spans="2:21" ht="14.65" thickBot="1">
      <c r="H677" s="18" t="s">
        <v>40</v>
      </c>
    </row>
    <row r="678" spans="2:21">
      <c r="B678" s="503"/>
      <c r="C678" s="504"/>
      <c r="D678" s="324"/>
      <c r="E678" s="324"/>
      <c r="F678" s="286"/>
      <c r="G678" s="325"/>
      <c r="H678" s="325"/>
    </row>
    <row r="679" spans="2:21">
      <c r="B679" s="489"/>
      <c r="C679" s="490"/>
      <c r="F679" s="8"/>
      <c r="G679" s="294"/>
      <c r="H679" s="294"/>
    </row>
    <row r="680" spans="2:21">
      <c r="B680" s="493" t="s">
        <v>56</v>
      </c>
      <c r="C680" s="494"/>
      <c r="D680" t="s">
        <v>57</v>
      </c>
      <c r="F680" s="8"/>
      <c r="G680" s="294">
        <f>(SUM(E652:E657)-MAX(E652:E657)-MIN(E652:E657))/(COUNT(E652:E657)-2)</f>
        <v>39375.799999999988</v>
      </c>
      <c r="H680" s="295"/>
      <c r="I680" t="s">
        <v>58</v>
      </c>
    </row>
    <row r="681" spans="2:21">
      <c r="B681" s="493" t="s">
        <v>56</v>
      </c>
      <c r="C681" s="494"/>
      <c r="D681" t="s">
        <v>59</v>
      </c>
      <c r="F681" s="8"/>
      <c r="G681" s="294">
        <f>+G680/G663</f>
        <v>2.7193833012884254</v>
      </c>
      <c r="H681" s="295">
        <f>IF(G681&lt;0.5,0,IF(G681&lt;1,20,IF(G681&lt;2,50,IF(G681&lt;3,70,IF(G681&lt;5,90,100)))))</f>
        <v>70</v>
      </c>
      <c r="I681" t="s">
        <v>60</v>
      </c>
    </row>
    <row r="682" spans="2:21">
      <c r="B682" s="487" t="s">
        <v>61</v>
      </c>
      <c r="C682" s="488"/>
      <c r="D682" t="s">
        <v>30</v>
      </c>
      <c r="G682" s="294">
        <f>_xlfn.STDEV.S(F652:F657)/AVERAGE(F652:F657)</f>
        <v>0.96429330826034332</v>
      </c>
      <c r="H682" s="294">
        <f>MAX(0,100-(G682*40))</f>
        <v>61.428267669586269</v>
      </c>
      <c r="I682" s="17" t="s">
        <v>62</v>
      </c>
    </row>
    <row r="683" spans="2:21">
      <c r="B683" s="505" t="s">
        <v>63</v>
      </c>
      <c r="C683" s="506"/>
      <c r="D683" t="s">
        <v>64</v>
      </c>
      <c r="G683" s="316">
        <f>((E657+E656+E655)/3)/((E652+E653+E654)/3)</f>
        <v>2.254636022522331E-2</v>
      </c>
      <c r="H683" s="374" t="str">
        <f>IF(G683&gt;=1.2,"liquidez mejora fuerte",IF(G683&gt;=1,"liquidez estable",IF(G683&gt;=0.8,"liquidez deteriora leve","liquidez deteriora fuerte")))</f>
        <v>liquidez deteriora fuerte</v>
      </c>
      <c r="I683" t="s">
        <v>65</v>
      </c>
    </row>
    <row r="684" spans="2:21">
      <c r="B684" s="489"/>
      <c r="C684" s="490"/>
      <c r="G684" s="294"/>
      <c r="H684" s="294"/>
    </row>
    <row r="685" spans="2:21">
      <c r="B685" s="487" t="s">
        <v>61</v>
      </c>
      <c r="C685" s="488"/>
      <c r="D685" t="s">
        <v>66</v>
      </c>
      <c r="G685" s="294">
        <f>MIN(3,STDEV(R652:R657)/MAX(ABS(AVERAGE(R652:R657)),1000))</f>
        <v>3</v>
      </c>
      <c r="H685" s="294">
        <f>MAX(0,100-(G685*30))</f>
        <v>10</v>
      </c>
      <c r="I685" t="s">
        <v>67</v>
      </c>
      <c r="R685" t="s">
        <v>68</v>
      </c>
    </row>
    <row r="686" spans="2:21">
      <c r="B686" s="489"/>
      <c r="C686" s="490"/>
      <c r="G686" s="294"/>
      <c r="H686" s="294"/>
    </row>
    <row r="687" spans="2:21">
      <c r="B687" s="491" t="s">
        <v>69</v>
      </c>
      <c r="C687" s="492"/>
      <c r="D687" t="s">
        <v>70</v>
      </c>
      <c r="F687" s="7"/>
      <c r="G687" s="294">
        <f>G671-(STDEV(R652:R657)*0.25)</f>
        <v>-45532.332059532979</v>
      </c>
      <c r="H687" s="294"/>
      <c r="I687" t="s">
        <v>71</v>
      </c>
    </row>
    <row r="688" spans="2:21">
      <c r="B688" s="491" t="s">
        <v>69</v>
      </c>
      <c r="C688" s="492"/>
      <c r="D688" t="s">
        <v>72</v>
      </c>
      <c r="F688" s="7"/>
      <c r="G688" s="294">
        <f>+G687/G663</f>
        <v>-3.1445675636155617</v>
      </c>
      <c r="H688" s="296"/>
      <c r="I688" t="s">
        <v>73</v>
      </c>
      <c r="U688" t="s">
        <v>353</v>
      </c>
    </row>
    <row r="689" spans="2:17">
      <c r="B689" s="491" t="s">
        <v>69</v>
      </c>
      <c r="C689" s="492"/>
      <c r="D689" t="s">
        <v>74</v>
      </c>
      <c r="G689" s="297">
        <f>+G688/P694</f>
        <v>-1.2578270254462247</v>
      </c>
      <c r="H689" s="294">
        <f>IF((G688/P694)&gt;=1.5,100,IF((G688/P694)&gt;=1.2,80,IF((G688/P694)&gt;=1,60,IF((G688/P694)&gt;=0.8,40,0))))</f>
        <v>0</v>
      </c>
    </row>
    <row r="690" spans="2:17">
      <c r="B690" s="493" t="s">
        <v>56</v>
      </c>
      <c r="C690" s="494"/>
      <c r="D690" t="s">
        <v>75</v>
      </c>
      <c r="F690" s="7"/>
      <c r="G690" s="294">
        <f>SUM(F652:F657)/SUM(G652:G657)</f>
        <v>1.0006693282166303</v>
      </c>
      <c r="H690" s="371">
        <f>IF(G690&gt;=1.1,100,IF(G690&gt;=1.05,80,IF(G690&gt;=1,70,IF(G690&gt;=0.95,50,IF(G690&gt;=0.85,35,10)))))</f>
        <v>70</v>
      </c>
      <c r="I690" t="s">
        <v>76</v>
      </c>
      <c r="Q690" s="23" t="s">
        <v>359</v>
      </c>
    </row>
    <row r="691" spans="2:17" ht="14.65" thickBot="1">
      <c r="B691" s="495" t="s">
        <v>69</v>
      </c>
      <c r="C691" s="496"/>
      <c r="D691" s="291" t="s">
        <v>15</v>
      </c>
      <c r="E691" s="291"/>
      <c r="F691" s="298"/>
      <c r="G691" s="299">
        <f>+(F661-G661)/F661</f>
        <v>-1.1426025361791395E-2</v>
      </c>
      <c r="H691" s="300">
        <f>IF(G691&gt;=0.2,100,
IF(G691&gt;=0.1,80,
IF(G691&gt;=0.05,60,
IF(G691&gt;=0,40,
IF(G691&gt;=-0.05,20,0)))))</f>
        <v>20</v>
      </c>
      <c r="I691" t="s">
        <v>77</v>
      </c>
    </row>
    <row r="692" spans="2:17" ht="14.65" thickBot="1"/>
    <row r="693" spans="2:17">
      <c r="B693" s="497" t="s">
        <v>78</v>
      </c>
      <c r="C693" s="498"/>
      <c r="D693" s="189" t="s">
        <v>79</v>
      </c>
      <c r="E693" s="189" t="s">
        <v>40</v>
      </c>
      <c r="F693" s="183"/>
      <c r="I693" s="253" t="s">
        <v>80</v>
      </c>
      <c r="J693" s="375">
        <v>3</v>
      </c>
      <c r="K693" s="256" t="s">
        <v>81</v>
      </c>
      <c r="L693" s="256"/>
      <c r="M693" s="256"/>
      <c r="N693" s="256"/>
      <c r="O693" s="256"/>
      <c r="P693" s="254" t="s">
        <v>82</v>
      </c>
      <c r="Q693" s="254" t="s">
        <v>83</v>
      </c>
    </row>
    <row r="694" spans="2:17">
      <c r="B694" s="184"/>
      <c r="C694" s="182" t="s">
        <v>84</v>
      </c>
      <c r="D694" s="185">
        <v>0.6</v>
      </c>
      <c r="E694" s="15">
        <f>+H689</f>
        <v>0</v>
      </c>
      <c r="F694" s="181"/>
      <c r="I694" s="24" t="s">
        <v>85</v>
      </c>
      <c r="J694" s="4">
        <v>2.75</v>
      </c>
      <c r="K694" s="421">
        <v>48</v>
      </c>
      <c r="L694" s="256"/>
      <c r="M694" s="256"/>
      <c r="N694" s="256"/>
      <c r="O694" s="256"/>
      <c r="P694" s="254">
        <f>+IF(K694&lt;=24,J693,IF(K694&lt;=36,J694,IF(K694&lt;=48,J695,IF(K694&lt;=60,J696,"2"))))</f>
        <v>2.5</v>
      </c>
      <c r="Q694" s="255">
        <f>+IF(K694&lt;24,30.2%,IF(K694&lt;36,26%,IF(K694&lt;48,24.55%,IF(K694&lt;60,23.82%,"0%"))))</f>
        <v>0.2382</v>
      </c>
    </row>
    <row r="695" spans="2:17">
      <c r="B695" s="184"/>
      <c r="C695" s="182" t="s">
        <v>86</v>
      </c>
      <c r="D695" s="185">
        <v>0.25</v>
      </c>
      <c r="E695" s="15">
        <f>+H673</f>
        <v>-20</v>
      </c>
      <c r="F695" s="181"/>
      <c r="I695" s="24" t="s">
        <v>87</v>
      </c>
      <c r="J695" s="4">
        <v>2.5</v>
      </c>
    </row>
    <row r="696" spans="2:17" ht="14.65" thickBot="1">
      <c r="B696" s="184"/>
      <c r="C696" s="182" t="s">
        <v>15</v>
      </c>
      <c r="D696" s="185">
        <v>0.15</v>
      </c>
      <c r="E696" s="15">
        <f>+H691</f>
        <v>20</v>
      </c>
      <c r="F696" s="181"/>
      <c r="I696" s="50" t="s">
        <v>88</v>
      </c>
      <c r="J696" s="317">
        <v>2.25</v>
      </c>
    </row>
    <row r="697" spans="2:17" ht="14.65" thickBot="1">
      <c r="B697" s="186"/>
      <c r="C697" s="187"/>
      <c r="D697" s="187"/>
      <c r="E697" s="188" t="s">
        <v>89</v>
      </c>
      <c r="F697" s="195">
        <f>E694*D694 + E695*D695 + E696*D696</f>
        <v>-2</v>
      </c>
    </row>
    <row r="698" spans="2:17" ht="14.65" thickBot="1">
      <c r="B698" s="499" t="s">
        <v>90</v>
      </c>
      <c r="C698" s="500"/>
      <c r="D698" s="189" t="s">
        <v>79</v>
      </c>
      <c r="E698" s="189" t="s">
        <v>40</v>
      </c>
      <c r="F698" s="183"/>
      <c r="H698" s="9"/>
      <c r="I698" s="313" t="s">
        <v>91</v>
      </c>
      <c r="J698" s="314"/>
      <c r="K698" s="315" t="s">
        <v>92</v>
      </c>
      <c r="L698" s="410"/>
      <c r="M698" s="410"/>
      <c r="N698" s="410"/>
      <c r="O698" s="410"/>
      <c r="P698" s="314"/>
    </row>
    <row r="699" spans="2:17">
      <c r="B699" s="184"/>
      <c r="C699" s="182" t="s">
        <v>93</v>
      </c>
      <c r="D699" s="190">
        <v>0.5</v>
      </c>
      <c r="E699" s="15">
        <f>+H681</f>
        <v>70</v>
      </c>
      <c r="F699" s="181"/>
      <c r="H699" s="182" t="s">
        <v>94</v>
      </c>
      <c r="I699" s="476">
        <f>+G666/P694</f>
        <v>29731.045333333332</v>
      </c>
      <c r="J699" s="477"/>
      <c r="K699" s="478">
        <f>ABS(PV(Q694/12,K694,I699))</f>
        <v>914733.70264642022</v>
      </c>
      <c r="L699" s="479"/>
      <c r="M699" s="479"/>
      <c r="N699" s="479"/>
      <c r="O699" s="479"/>
      <c r="P699" s="480"/>
    </row>
    <row r="700" spans="2:17">
      <c r="B700" s="184"/>
      <c r="C700" s="182" t="s">
        <v>95</v>
      </c>
      <c r="D700" s="190">
        <v>0.3</v>
      </c>
      <c r="E700" s="15">
        <f>+H690</f>
        <v>70</v>
      </c>
      <c r="F700" s="181"/>
      <c r="H700" s="182" t="s">
        <v>96</v>
      </c>
      <c r="I700" s="476">
        <f>+G665/P694</f>
        <v>345994.03199999989</v>
      </c>
      <c r="J700" s="477"/>
      <c r="K700" s="478">
        <f>ABS(PV(Q694/12,K694,I700))</f>
        <v>10645182.449407</v>
      </c>
      <c r="L700" s="479"/>
      <c r="M700" s="479"/>
      <c r="N700" s="479"/>
      <c r="O700" s="479"/>
      <c r="P700" s="480"/>
    </row>
    <row r="701" spans="2:17" ht="14.65" thickBot="1">
      <c r="B701" s="184"/>
      <c r="C701" s="8" t="s">
        <v>97</v>
      </c>
      <c r="D701" s="185">
        <v>0.2</v>
      </c>
      <c r="E701" s="15">
        <f>+H675</f>
        <v>60</v>
      </c>
      <c r="F701" s="181"/>
      <c r="H701" s="257" t="s">
        <v>98</v>
      </c>
      <c r="I701" s="481">
        <f>+G667/P694</f>
        <v>1424.9536000000001</v>
      </c>
      <c r="J701" s="482"/>
      <c r="K701" s="483">
        <f>ABS(PV(Q694/12,K694,I701))</f>
        <v>43841.481791626182</v>
      </c>
      <c r="L701" s="484"/>
      <c r="M701" s="484"/>
      <c r="N701" s="484"/>
      <c r="O701" s="484"/>
      <c r="P701" s="485"/>
    </row>
    <row r="702" spans="2:17" ht="14.65" thickBot="1">
      <c r="B702" s="191"/>
      <c r="C702" s="182"/>
      <c r="D702" s="187"/>
      <c r="E702" s="188" t="s">
        <v>89</v>
      </c>
      <c r="F702" s="195">
        <f xml:space="preserve"> E699*D699 + E700*D700+E701*D701</f>
        <v>68</v>
      </c>
    </row>
    <row r="703" spans="2:17">
      <c r="B703" s="196" t="s">
        <v>99</v>
      </c>
      <c r="C703" s="197"/>
      <c r="D703" s="189" t="s">
        <v>79</v>
      </c>
      <c r="E703" s="189" t="s">
        <v>40</v>
      </c>
      <c r="F703" s="183"/>
      <c r="I703" s="486" t="s">
        <v>100</v>
      </c>
      <c r="J703" s="486"/>
      <c r="P703" s="8"/>
    </row>
    <row r="704" spans="2:17">
      <c r="B704" s="184"/>
      <c r="C704" s="182" t="s">
        <v>101</v>
      </c>
      <c r="D704" s="7">
        <v>0.6</v>
      </c>
      <c r="E704" s="15">
        <f>+H685</f>
        <v>10</v>
      </c>
      <c r="F704" s="181"/>
      <c r="I704" t="s">
        <v>102</v>
      </c>
      <c r="J704" t="s">
        <v>103</v>
      </c>
    </row>
    <row r="705" spans="1:42" ht="14.65" thickBot="1">
      <c r="B705" s="184"/>
      <c r="C705" s="182" t="s">
        <v>104</v>
      </c>
      <c r="D705" s="7">
        <v>0.4</v>
      </c>
      <c r="E705" s="201">
        <f>+H676</f>
        <v>3.5706691739656682</v>
      </c>
      <c r="F705" s="181"/>
      <c r="I705" s="8" t="s">
        <v>105</v>
      </c>
      <c r="J705" t="s">
        <v>106</v>
      </c>
    </row>
    <row r="706" spans="1:42" ht="14.65" thickBot="1">
      <c r="B706" s="192"/>
      <c r="E706" s="193" t="s">
        <v>89</v>
      </c>
      <c r="F706" s="195">
        <f xml:space="preserve"> E704*D704 + E705*D705</f>
        <v>7.4282676695862673</v>
      </c>
      <c r="I706" s="8" t="s">
        <v>107</v>
      </c>
      <c r="J706" t="s">
        <v>108</v>
      </c>
    </row>
    <row r="707" spans="1:42">
      <c r="B707" s="198" t="s">
        <v>109</v>
      </c>
      <c r="C707" s="199"/>
      <c r="D707" s="189" t="s">
        <v>79</v>
      </c>
      <c r="E707" s="189" t="s">
        <v>40</v>
      </c>
      <c r="F707" s="183"/>
      <c r="I707" s="8" t="s">
        <v>110</v>
      </c>
      <c r="J707" t="s">
        <v>111</v>
      </c>
    </row>
    <row r="708" spans="1:42" ht="14.65" thickBot="1">
      <c r="B708" s="194"/>
      <c r="C708" s="182" t="s">
        <v>112</v>
      </c>
      <c r="D708" s="7">
        <v>1</v>
      </c>
      <c r="E708" s="2">
        <f>+H669</f>
        <v>-20</v>
      </c>
      <c r="F708" s="181"/>
      <c r="I708" s="8" t="s">
        <v>113</v>
      </c>
      <c r="J708" t="s">
        <v>114</v>
      </c>
    </row>
    <row r="709" spans="1:42" ht="14.65" thickBot="1">
      <c r="B709" s="186"/>
      <c r="C709" s="187"/>
      <c r="D709" s="187"/>
      <c r="E709" s="188" t="s">
        <v>89</v>
      </c>
      <c r="F709" s="195">
        <f>+ E708*D708</f>
        <v>-20</v>
      </c>
      <c r="I709" s="8" t="s">
        <v>115</v>
      </c>
      <c r="J709" t="s">
        <v>106</v>
      </c>
    </row>
    <row r="710" spans="1:42" ht="14.65" thickBot="1">
      <c r="I710" s="8" t="s">
        <v>350</v>
      </c>
      <c r="J710" t="s">
        <v>108</v>
      </c>
    </row>
    <row r="711" spans="1:42">
      <c r="E711" s="423" t="s">
        <v>116</v>
      </c>
      <c r="F711" s="424">
        <f>(F697*0.4)+
(F702*0.3)+
(F706*0.2)+
(F709*0.1)</f>
        <v>19.085653533917252</v>
      </c>
    </row>
    <row r="712" spans="1:42">
      <c r="E712" s="425" t="s">
        <v>117</v>
      </c>
      <c r="F712" s="426">
        <f>MIN(1000,MAX(0,F711*10))</f>
        <v>190.85653533917252</v>
      </c>
    </row>
    <row r="714" spans="1:42" ht="14.65" thickBot="1"/>
    <row r="715" spans="1:42" ht="27" thickBot="1">
      <c r="A715" s="453" t="s">
        <v>396</v>
      </c>
      <c r="B715" s="454"/>
      <c r="C715" s="454"/>
      <c r="D715" s="454"/>
      <c r="E715" s="454"/>
      <c r="F715" s="388"/>
      <c r="G715" s="388"/>
      <c r="H715" s="389"/>
      <c r="I715" s="386"/>
      <c r="J715" s="386"/>
      <c r="K715" s="386"/>
      <c r="L715" s="386"/>
      <c r="M715" s="386"/>
      <c r="N715" s="386"/>
      <c r="O715" s="386"/>
      <c r="P715" s="386"/>
      <c r="Q715" s="386"/>
      <c r="R715" s="386"/>
      <c r="S715" s="386"/>
      <c r="T715" s="386"/>
      <c r="U715" s="386"/>
      <c r="V715" s="386"/>
      <c r="W715" s="386"/>
      <c r="X715" s="386"/>
      <c r="Y715" s="386"/>
      <c r="Z715" s="386"/>
      <c r="AA715" s="386"/>
      <c r="AB715" s="386"/>
      <c r="AC715" s="386"/>
      <c r="AD715" s="386"/>
      <c r="AE715" s="386"/>
      <c r="AF715" s="386"/>
      <c r="AG715" s="386"/>
      <c r="AH715" s="386"/>
      <c r="AI715" s="386"/>
      <c r="AJ715" s="386"/>
      <c r="AK715" s="386"/>
      <c r="AL715" s="386"/>
      <c r="AM715" s="386"/>
      <c r="AN715" s="386"/>
      <c r="AO715" s="386"/>
      <c r="AP715" s="390"/>
    </row>
    <row r="716" spans="1:42" ht="42.75" customHeight="1" thickBot="1">
      <c r="B716" s="405" t="s">
        <v>1</v>
      </c>
      <c r="C716" s="406" t="s">
        <v>2</v>
      </c>
      <c r="D716" s="406" t="s">
        <v>3</v>
      </c>
      <c r="E716" s="406" t="s">
        <v>4</v>
      </c>
      <c r="F716" s="406" t="s">
        <v>5</v>
      </c>
      <c r="G716" s="406" t="s">
        <v>6</v>
      </c>
      <c r="H716" s="406" t="s">
        <v>7</v>
      </c>
      <c r="I716" s="407" t="s">
        <v>388</v>
      </c>
      <c r="J716" s="407" t="s">
        <v>385</v>
      </c>
      <c r="K716" s="406" t="s">
        <v>386</v>
      </c>
      <c r="L716" s="406" t="s">
        <v>391</v>
      </c>
      <c r="M716" s="406" t="s">
        <v>392</v>
      </c>
      <c r="N716" s="406" t="s">
        <v>389</v>
      </c>
      <c r="O716" s="406" t="s">
        <v>390</v>
      </c>
      <c r="P716" s="406" t="s">
        <v>11</v>
      </c>
      <c r="Q716" s="406" t="s">
        <v>12</v>
      </c>
      <c r="R716" s="406" t="s">
        <v>13</v>
      </c>
      <c r="S716" s="406" t="s">
        <v>14</v>
      </c>
      <c r="T716" s="406" t="s">
        <v>15</v>
      </c>
      <c r="U716" s="406" t="s">
        <v>16</v>
      </c>
      <c r="V716" s="408" t="s">
        <v>17</v>
      </c>
      <c r="X716" s="394" t="s">
        <v>18</v>
      </c>
      <c r="Y716" s="395" t="s">
        <v>19</v>
      </c>
      <c r="Z716" s="394" t="s">
        <v>20</v>
      </c>
    </row>
    <row r="717" spans="1:42" ht="27.75" thickBot="1">
      <c r="B717" s="248">
        <v>1</v>
      </c>
      <c r="C717" s="396" t="s">
        <v>379</v>
      </c>
      <c r="D717" s="430">
        <v>863193.57</v>
      </c>
      <c r="E717" s="430">
        <v>37884.400000000001</v>
      </c>
      <c r="F717" s="430">
        <v>11466840.02</v>
      </c>
      <c r="G717" s="430">
        <v>12292149.189999999</v>
      </c>
      <c r="H717" s="430">
        <v>0</v>
      </c>
      <c r="I717" s="430">
        <v>0</v>
      </c>
      <c r="J717" s="399">
        <v>33</v>
      </c>
      <c r="K717" s="400">
        <v>0</v>
      </c>
      <c r="L717" s="400"/>
      <c r="M717" s="400"/>
      <c r="N717" s="400"/>
      <c r="O717" s="400"/>
      <c r="P717" s="401" t="e">
        <f t="shared" ref="P717:P722" si="56">+F717/I717</f>
        <v>#DIV/0!</v>
      </c>
      <c r="Q717" s="401">
        <f t="shared" ref="Q717:Q722" si="57">+G717/J717</f>
        <v>372489.36939393939</v>
      </c>
      <c r="R717" s="397">
        <f t="shared" ref="R717:R722" si="58">+F717-G717</f>
        <v>-825309.16999999993</v>
      </c>
      <c r="S717" s="402">
        <f t="shared" ref="S717:S722" si="59">+G717/F717</f>
        <v>1.0719735488208197</v>
      </c>
      <c r="T717" s="403">
        <f t="shared" ref="T717:T722" si="60">(+F717-G717)/F717</f>
        <v>-7.1973548820819772E-2</v>
      </c>
      <c r="U717" s="400">
        <v>0</v>
      </c>
      <c r="V717" s="404">
        <v>26</v>
      </c>
      <c r="X717" s="12" t="s">
        <v>21</v>
      </c>
      <c r="Y717" s="13" t="s">
        <v>22</v>
      </c>
      <c r="Z717" s="12" t="s">
        <v>23</v>
      </c>
    </row>
    <row r="718" spans="1:42" ht="28.15" thickBot="1">
      <c r="B718" s="249">
        <v>2</v>
      </c>
      <c r="C718" s="301" t="s">
        <v>380</v>
      </c>
      <c r="D718" s="430">
        <v>37884.400000000001</v>
      </c>
      <c r="E718" s="430">
        <v>70468.399999999994</v>
      </c>
      <c r="F718" s="430">
        <v>22248416.539999999</v>
      </c>
      <c r="G718" s="430">
        <v>22215832.539999999</v>
      </c>
      <c r="H718" s="430">
        <v>0</v>
      </c>
      <c r="I718" s="430">
        <v>0</v>
      </c>
      <c r="J718" s="304">
        <v>46</v>
      </c>
      <c r="K718" s="305">
        <v>0</v>
      </c>
      <c r="L718" s="305"/>
      <c r="M718" s="305"/>
      <c r="N718" s="305"/>
      <c r="O718" s="305"/>
      <c r="P718" s="306" t="e">
        <f t="shared" si="56"/>
        <v>#DIV/0!</v>
      </c>
      <c r="Q718" s="306">
        <f t="shared" si="57"/>
        <v>482952.88130434783</v>
      </c>
      <c r="R718" s="302">
        <f t="shared" si="58"/>
        <v>32584</v>
      </c>
      <c r="S718" s="307">
        <f t="shared" si="59"/>
        <v>0.99853544633428548</v>
      </c>
      <c r="T718" s="308">
        <f t="shared" si="60"/>
        <v>1.464553665714495E-3</v>
      </c>
      <c r="U718" s="305">
        <v>0</v>
      </c>
      <c r="V718" s="310">
        <v>401.19</v>
      </c>
      <c r="X718" s="12" t="s">
        <v>24</v>
      </c>
      <c r="Y718" s="13" t="s">
        <v>25</v>
      </c>
      <c r="Z718" s="12" t="s">
        <v>26</v>
      </c>
    </row>
    <row r="719" spans="1:42" ht="27.75" thickBot="1">
      <c r="B719" s="249">
        <v>3</v>
      </c>
      <c r="C719" s="301" t="s">
        <v>381</v>
      </c>
      <c r="D719" s="430">
        <v>70468.399999999994</v>
      </c>
      <c r="E719" s="430">
        <v>662146.84</v>
      </c>
      <c r="F719" s="430">
        <v>19310612.550000001</v>
      </c>
      <c r="G719" s="430">
        <v>18718934.109999999</v>
      </c>
      <c r="H719" s="430">
        <v>0</v>
      </c>
      <c r="I719" s="430">
        <v>0</v>
      </c>
      <c r="J719" s="304">
        <v>40</v>
      </c>
      <c r="K719" s="305">
        <v>0</v>
      </c>
      <c r="L719" s="305"/>
      <c r="M719" s="305"/>
      <c r="N719" s="305"/>
      <c r="O719" s="305"/>
      <c r="P719" s="306" t="e">
        <f t="shared" si="56"/>
        <v>#DIV/0!</v>
      </c>
      <c r="Q719" s="306">
        <f t="shared" si="57"/>
        <v>467973.35274999996</v>
      </c>
      <c r="R719" s="302">
        <f t="shared" si="58"/>
        <v>591678.44000000134</v>
      </c>
      <c r="S719" s="307">
        <f t="shared" si="59"/>
        <v>0.96935993415703425</v>
      </c>
      <c r="T719" s="308">
        <f t="shared" si="60"/>
        <v>3.0640065842965782E-2</v>
      </c>
      <c r="U719" s="305">
        <v>0</v>
      </c>
      <c r="V719" s="309"/>
      <c r="X719" s="12" t="s">
        <v>27</v>
      </c>
      <c r="Y719" s="13" t="s">
        <v>28</v>
      </c>
      <c r="Z719" s="14" t="s">
        <v>29</v>
      </c>
    </row>
    <row r="720" spans="1:42" ht="27.75" thickBot="1">
      <c r="B720" s="249">
        <v>4</v>
      </c>
      <c r="C720" s="301" t="s">
        <v>382</v>
      </c>
      <c r="D720" s="430">
        <v>662146.84</v>
      </c>
      <c r="E720" s="430">
        <v>199965.2</v>
      </c>
      <c r="F720" s="430">
        <v>19000000</v>
      </c>
      <c r="G720" s="430">
        <v>19493000</v>
      </c>
      <c r="H720" s="430">
        <v>0</v>
      </c>
      <c r="I720" s="430">
        <v>0</v>
      </c>
      <c r="J720" s="304">
        <v>39</v>
      </c>
      <c r="K720" s="305">
        <v>0</v>
      </c>
      <c r="L720" s="305"/>
      <c r="M720" s="305"/>
      <c r="N720" s="305"/>
      <c r="O720" s="305"/>
      <c r="P720" s="306" t="e">
        <f t="shared" si="56"/>
        <v>#DIV/0!</v>
      </c>
      <c r="Q720" s="306">
        <f t="shared" si="57"/>
        <v>499820.51282051281</v>
      </c>
      <c r="R720" s="302">
        <f t="shared" si="58"/>
        <v>-493000</v>
      </c>
      <c r="S720" s="307">
        <f t="shared" si="59"/>
        <v>1.0259473684210527</v>
      </c>
      <c r="T720" s="308">
        <f t="shared" si="60"/>
        <v>-2.5947368421052632E-2</v>
      </c>
      <c r="U720" s="305">
        <v>0</v>
      </c>
      <c r="V720" s="310">
        <v>390</v>
      </c>
      <c r="X720" s="12" t="s">
        <v>30</v>
      </c>
      <c r="Y720" s="13" t="s">
        <v>31</v>
      </c>
      <c r="Z720" s="12" t="s">
        <v>32</v>
      </c>
    </row>
    <row r="721" spans="2:26" ht="16.149999999999999" thickBot="1">
      <c r="B721" s="249">
        <v>5</v>
      </c>
      <c r="C721" s="301" t="s">
        <v>383</v>
      </c>
      <c r="D721" s="430">
        <v>199965.2</v>
      </c>
      <c r="E721" s="430">
        <v>335098.5</v>
      </c>
      <c r="F721" s="430">
        <v>30057935.379999999</v>
      </c>
      <c r="G721" s="430">
        <v>29922802.079999998</v>
      </c>
      <c r="H721" s="430">
        <v>0</v>
      </c>
      <c r="I721" s="430">
        <v>0</v>
      </c>
      <c r="J721" s="304">
        <v>29</v>
      </c>
      <c r="K721" s="305"/>
      <c r="L721" s="305"/>
      <c r="M721" s="305"/>
      <c r="N721" s="305"/>
      <c r="O721" s="305"/>
      <c r="P721" s="306" t="e">
        <f t="shared" si="56"/>
        <v>#DIV/0!</v>
      </c>
      <c r="Q721" s="306">
        <f t="shared" si="57"/>
        <v>1031820.7613793103</v>
      </c>
      <c r="R721" s="302">
        <f t="shared" si="58"/>
        <v>135133.30000000075</v>
      </c>
      <c r="S721" s="307">
        <f t="shared" si="59"/>
        <v>0.99550423878780725</v>
      </c>
      <c r="T721" s="308">
        <f t="shared" si="60"/>
        <v>4.4957612121927703E-3</v>
      </c>
      <c r="U721" s="305"/>
      <c r="V721" s="303">
        <v>1067.03</v>
      </c>
      <c r="X721" s="12"/>
      <c r="Y721" s="13"/>
      <c r="Z721" s="12"/>
    </row>
    <row r="722" spans="2:26" ht="27.75" thickBot="1">
      <c r="B722" s="250">
        <v>6</v>
      </c>
      <c r="C722" s="301" t="s">
        <v>384</v>
      </c>
      <c r="D722" s="430">
        <v>335098.5</v>
      </c>
      <c r="E722" s="430">
        <v>419247.67</v>
      </c>
      <c r="F722" s="430">
        <v>22076980.949999999</v>
      </c>
      <c r="G722" s="430">
        <v>21992831.780000001</v>
      </c>
      <c r="H722" s="430">
        <v>0</v>
      </c>
      <c r="I722" s="430">
        <v>0</v>
      </c>
      <c r="J722" s="304">
        <v>25</v>
      </c>
      <c r="K722" s="305">
        <v>0</v>
      </c>
      <c r="L722" s="305"/>
      <c r="M722" s="305"/>
      <c r="N722" s="305"/>
      <c r="O722" s="305"/>
      <c r="P722" s="306" t="e">
        <f t="shared" si="56"/>
        <v>#DIV/0!</v>
      </c>
      <c r="Q722" s="306">
        <f t="shared" si="57"/>
        <v>879713.27120000008</v>
      </c>
      <c r="R722" s="302">
        <f t="shared" si="58"/>
        <v>84149.169999998063</v>
      </c>
      <c r="S722" s="307">
        <f t="shared" si="59"/>
        <v>0.99618837511385372</v>
      </c>
      <c r="T722" s="308">
        <f t="shared" si="60"/>
        <v>3.8116248861463126E-3</v>
      </c>
      <c r="U722" s="305">
        <v>0</v>
      </c>
      <c r="V722" s="309">
        <v>390</v>
      </c>
      <c r="X722" s="12" t="s">
        <v>33</v>
      </c>
      <c r="Y722" s="13" t="s">
        <v>34</v>
      </c>
      <c r="Z722" s="12" t="s">
        <v>35</v>
      </c>
    </row>
    <row r="723" spans="2:26">
      <c r="C723" s="270" t="s">
        <v>36</v>
      </c>
      <c r="D723" s="262"/>
      <c r="E723" s="262"/>
      <c r="F723" s="271">
        <f>SUM(F717:F722)</f>
        <v>124160785.44</v>
      </c>
      <c r="G723" s="271">
        <f>SUM(G717:G722)</f>
        <v>124635549.7</v>
      </c>
      <c r="I723" s="2"/>
      <c r="J723" s="2"/>
      <c r="Q723" s="264"/>
      <c r="R723" s="262"/>
      <c r="S723" s="266"/>
      <c r="T723" s="267"/>
    </row>
    <row r="724" spans="2:26" ht="14.65" thickBot="1">
      <c r="D724" s="262"/>
      <c r="E724" s="262"/>
      <c r="I724" s="2"/>
      <c r="J724" s="2"/>
      <c r="P724" s="263"/>
      <c r="Q724" s="264"/>
      <c r="R724" s="262"/>
      <c r="S724" s="266"/>
      <c r="T724" s="267"/>
      <c r="X724" s="268"/>
      <c r="Y724" s="269"/>
      <c r="Z724" s="268"/>
    </row>
    <row r="725" spans="2:26" ht="14.65" thickBot="1">
      <c r="C725" s="16" t="s">
        <v>37</v>
      </c>
      <c r="D725" s="272"/>
      <c r="E725" s="272">
        <f>+G731</f>
        <v>287468.50166666665</v>
      </c>
      <c r="F725" s="272">
        <f>+G730</f>
        <v>20693464.239999998</v>
      </c>
      <c r="G725" s="273">
        <f>+AVERAGE(G717:G722)</f>
        <v>20772591.616666667</v>
      </c>
      <c r="I725" s="276">
        <f>+AVERAGE(I717:I722)</f>
        <v>0</v>
      </c>
      <c r="J725" s="277">
        <f>+AVERAGE(J717:J722)</f>
        <v>35.333333333333336</v>
      </c>
      <c r="P725" s="311" t="e">
        <f>+AVERAGE(P717:P722)</f>
        <v>#DIV/0!</v>
      </c>
      <c r="Q725" s="272">
        <f>+AVERAGE(Q717:Q722)</f>
        <v>622461.69147468498</v>
      </c>
      <c r="R725" s="273">
        <f>+AVERAGE(R717:R722)</f>
        <v>-79127.376666666634</v>
      </c>
      <c r="S725" s="9"/>
      <c r="T725" s="9"/>
      <c r="X725" s="268"/>
      <c r="Y725" s="269"/>
      <c r="Z725" s="268"/>
    </row>
    <row r="726" spans="2:26" ht="14.65" thickBot="1">
      <c r="C726" s="6" t="s">
        <v>38</v>
      </c>
      <c r="D726" s="274"/>
      <c r="E726" s="274">
        <f>(E717*0.05)+(E718*0.1)+(E719*0.1)+(E720*0.15)+(E721*0.25)+(E722*0.35)</f>
        <v>335661.83349999995</v>
      </c>
      <c r="F726" s="274">
        <f>(F717*0.05)+(F718*0.1)+(F719*0.1)+(F720*0.15)+(F721*0.25)+(F722*0.35)</f>
        <v>22820672.087499999</v>
      </c>
      <c r="G726" s="275">
        <f>(G717*0.05)+(G718*0.1)+(G719*0.1)+(G720*0.15)+(G721*0.25)+(G722*0.35)</f>
        <v>22810225.767499998</v>
      </c>
      <c r="I726" s="9"/>
      <c r="P726" s="312" t="e">
        <f>(P717*0.05)+(P718*0.1)+(P719*0.1)+(P720*0.15)+(P721*0.25)+(P722*0.35)</f>
        <v>#DIV/0!</v>
      </c>
      <c r="Q726" s="274">
        <f>(Q717*0.05)+(Q718*0.1)+(Q719*0.1)+(Q720*0.15)+(Q721*0.25)+(Q722*0.35)</f>
        <v>754545.00406303618</v>
      </c>
      <c r="R726" s="275">
        <f>(R717*0.05)+(R718*0.1)+(R719*0.1)+(R720*0.15)+(R721*0.25)+(R722*0.35)</f>
        <v>10446.319999999643</v>
      </c>
      <c r="S726" s="9"/>
      <c r="T726" s="9"/>
    </row>
    <row r="727" spans="2:26" ht="14.65" thickBot="1"/>
    <row r="728" spans="2:26" ht="14.65" thickBot="1">
      <c r="D728" s="283" t="s">
        <v>39</v>
      </c>
      <c r="E728" s="284"/>
      <c r="F728" s="284"/>
      <c r="G728" s="429">
        <v>30623.05</v>
      </c>
    </row>
    <row r="729" spans="2:26" ht="14.65" thickBot="1">
      <c r="G729" s="278"/>
      <c r="H729" s="18" t="s">
        <v>40</v>
      </c>
    </row>
    <row r="730" spans="2:26">
      <c r="D730" s="16" t="s">
        <v>387</v>
      </c>
      <c r="E730" s="286"/>
      <c r="F730" s="286"/>
      <c r="G730" s="287">
        <f>+AVERAGE(F717:F722)</f>
        <v>20693464.239999998</v>
      </c>
      <c r="H730" s="288"/>
      <c r="I730" s="17" t="s">
        <v>41</v>
      </c>
    </row>
    <row r="731" spans="2:26">
      <c r="D731" s="3" t="s">
        <v>18</v>
      </c>
      <c r="G731" s="279">
        <f>+AVERAGE(E717:E722)</f>
        <v>287468.50166666665</v>
      </c>
      <c r="H731" s="289"/>
      <c r="I731" t="s">
        <v>42</v>
      </c>
    </row>
    <row r="732" spans="2:26">
      <c r="D732" s="3" t="s">
        <v>43</v>
      </c>
      <c r="G732" s="279">
        <f>(E722*0.5)+(E721*0.3)+(E720*0.2)</f>
        <v>350146.42500000005</v>
      </c>
      <c r="H732" s="289"/>
    </row>
    <row r="733" spans="2:26">
      <c r="D733" s="3" t="s">
        <v>44</v>
      </c>
      <c r="G733" s="279">
        <f>AVERAGE(E717:E719)</f>
        <v>256833.21333333329</v>
      </c>
      <c r="H733" s="289"/>
    </row>
    <row r="734" spans="2:26">
      <c r="D734" s="3" t="s">
        <v>351</v>
      </c>
      <c r="G734" s="370">
        <f>(AVERAGE(H720:H722) - AVERAGE(H717:H719)) / MAX(ABS(AVERAGE(H717:H719)), 1000)</f>
        <v>0</v>
      </c>
      <c r="H734" s="4">
        <f>IF(G734&gt;=1.2,100,IF(G734&gt;=1,80,IF(G734&gt;=0.8,50,IF(G734&gt;=0.5,30,IF(G734&gt;=0.2,0,-20)))))</f>
        <v>-20</v>
      </c>
      <c r="I734" s="501" t="s">
        <v>354</v>
      </c>
      <c r="J734" s="502"/>
      <c r="K734" s="502"/>
      <c r="L734" s="502"/>
      <c r="M734" s="502"/>
      <c r="N734" s="502"/>
      <c r="O734" s="502"/>
      <c r="P734" s="502"/>
    </row>
    <row r="735" spans="2:26">
      <c r="D735" s="369" t="s">
        <v>352</v>
      </c>
      <c r="E735" s="23"/>
      <c r="F735" s="23"/>
      <c r="G735" s="370">
        <f>(AVERAGE(R720:R722) - AVERAGE(R717:R719)) / MAX(ABS(AVERAGE(R717:R719)), 1000)</f>
        <v>-0.36146223318331566</v>
      </c>
      <c r="H735" s="202">
        <f>IF(G735&gt;=1.2,100,IF(G735&gt;=1,80,IF(G735&gt;=0.8,50,IF(G735&gt;=0.5,30,IF(G735&gt;=0.2,0,-20)))))</f>
        <v>-20</v>
      </c>
      <c r="I735" s="502"/>
      <c r="J735" s="502"/>
      <c r="K735" s="502"/>
      <c r="L735" s="502"/>
      <c r="M735" s="502"/>
      <c r="N735" s="502"/>
      <c r="O735" s="502"/>
      <c r="P735" s="502"/>
    </row>
    <row r="736" spans="2:26">
      <c r="D736" s="3" t="s">
        <v>45</v>
      </c>
      <c r="G736" s="265">
        <f>(SUM(F717:F722)*G756)/6</f>
        <v>9472.5759403909142</v>
      </c>
      <c r="H736" s="290"/>
      <c r="I736" t="s">
        <v>46</v>
      </c>
    </row>
    <row r="737" spans="2:19">
      <c r="D737" s="3" t="s">
        <v>47</v>
      </c>
      <c r="G737" s="265">
        <f>(R717*0.05)+(R718*0.1)+(R719*0.1)+(R720*0.15)+(R721*0.25)+(R722*0.35)</f>
        <v>10446.319999999643</v>
      </c>
      <c r="H737" s="290"/>
      <c r="I737" t="s">
        <v>48</v>
      </c>
    </row>
    <row r="738" spans="2:19">
      <c r="D738" s="3" t="s">
        <v>49</v>
      </c>
      <c r="F738" s="280" t="str">
        <f>+IF(G738&lt;0.75,"Muy Sano",IF(G738&lt;0.85,"Sano",IF(G738&lt;0.95,"Presionado",IF(G738&gt;0.95,"Riesgoso"))))</f>
        <v>Riesgoso</v>
      </c>
      <c r="G738" s="281">
        <f>(S717*0.05)+(S718*0.1)+(S719*0.1)+(S720*0.15)+(S721*0.25)+(S722*0.35)</f>
        <v>1.0018223117401315</v>
      </c>
      <c r="H738" s="202">
        <f>+IF(G738&lt;0.75,100,IF(G738&lt;0.8,80,IF(G738&lt;0.85,50,IF(G738&lt;0.9,30,IF(G738&lt;0.95,15,IF(G738&lt;1,0,-20))))))</f>
        <v>-20</v>
      </c>
      <c r="I738" t="s">
        <v>50</v>
      </c>
      <c r="S738" t="s">
        <v>355</v>
      </c>
    </row>
    <row r="739" spans="2:19">
      <c r="D739" s="3" t="s">
        <v>21</v>
      </c>
      <c r="G739" s="282">
        <f>+SUM(K717:K722)</f>
        <v>0</v>
      </c>
      <c r="H739" s="289"/>
      <c r="I739" t="s">
        <v>51</v>
      </c>
    </row>
    <row r="740" spans="2:19">
      <c r="D740" s="3" t="s">
        <v>52</v>
      </c>
      <c r="G740" s="15">
        <f>AVERAGE(E717:E722)/AVERAGE(F717:F722)</f>
        <v>1.3891753373560167E-2</v>
      </c>
      <c r="H740" s="202">
        <f>+IF(G740&gt;15%,100,IF(G740&gt;10%,80,IF(G740&gt;5%,60,IF(G740&gt;3%,50,IF(G740&gt;1.5%,20,IF(G740&lt;1.5%,10,IF(G740=0,0,-10)))))))</f>
        <v>10</v>
      </c>
      <c r="I740" t="s">
        <v>53</v>
      </c>
    </row>
    <row r="741" spans="2:19" ht="14.65" thickBot="1">
      <c r="D741" s="6" t="s">
        <v>54</v>
      </c>
      <c r="E741" s="291"/>
      <c r="F741" s="291"/>
      <c r="G741" s="292">
        <f>1 - (STDEV(F717:F722)/AVERAGE(F717:F722))</f>
        <v>0.70849827496906637</v>
      </c>
      <c r="H741" s="293">
        <f>MAX(0,MIN(100,G741*100))</f>
        <v>70.849827496906641</v>
      </c>
      <c r="I741" t="s">
        <v>55</v>
      </c>
    </row>
    <row r="742" spans="2:19" ht="14.65" thickBot="1">
      <c r="H742" s="18" t="s">
        <v>40</v>
      </c>
    </row>
    <row r="743" spans="2:19">
      <c r="B743" s="503"/>
      <c r="C743" s="504"/>
      <c r="D743" s="324"/>
      <c r="E743" s="324"/>
      <c r="F743" s="286"/>
      <c r="G743" s="325"/>
      <c r="H743" s="325"/>
    </row>
    <row r="744" spans="2:19">
      <c r="B744" s="489"/>
      <c r="C744" s="490"/>
      <c r="F744" s="8"/>
      <c r="G744" s="294"/>
      <c r="H744" s="294"/>
    </row>
    <row r="745" spans="2:19">
      <c r="B745" s="493" t="s">
        <v>56</v>
      </c>
      <c r="C745" s="494"/>
      <c r="D745" t="s">
        <v>57</v>
      </c>
      <c r="F745" s="8"/>
      <c r="G745" s="294">
        <f>(SUM(E717:E722)-MAX(E717:E722)-MIN(E717:E722))/(COUNT(E717:E722)-2)</f>
        <v>256194.94249999998</v>
      </c>
      <c r="H745" s="295"/>
      <c r="I745" t="s">
        <v>58</v>
      </c>
    </row>
    <row r="746" spans="2:19">
      <c r="B746" s="493" t="s">
        <v>56</v>
      </c>
      <c r="C746" s="494"/>
      <c r="D746" t="s">
        <v>59</v>
      </c>
      <c r="F746" s="8"/>
      <c r="G746" s="294">
        <f>+G745/G728</f>
        <v>8.3660818403130968</v>
      </c>
      <c r="H746" s="295">
        <f>IF(G746&lt;0.5,0,IF(G746&lt;1,20,IF(G746&lt;2,50,IF(G746&lt;3,70,IF(G746&lt;5,90,100)))))</f>
        <v>100</v>
      </c>
      <c r="I746" t="s">
        <v>60</v>
      </c>
    </row>
    <row r="747" spans="2:19">
      <c r="B747" s="487" t="s">
        <v>61</v>
      </c>
      <c r="C747" s="488"/>
      <c r="D747" t="s">
        <v>30</v>
      </c>
      <c r="G747" s="294">
        <f>_xlfn.STDEV.S(F717:F722)/AVERAGE(F717:F722)</f>
        <v>0.29150172503093363</v>
      </c>
      <c r="H747" s="294">
        <f>MAX(0,100-(G747*40))</f>
        <v>88.339930998762654</v>
      </c>
      <c r="I747" s="17" t="s">
        <v>62</v>
      </c>
    </row>
    <row r="748" spans="2:19">
      <c r="B748" s="505" t="s">
        <v>63</v>
      </c>
      <c r="C748" s="506"/>
      <c r="D748" t="s">
        <v>64</v>
      </c>
      <c r="G748" s="316">
        <f>((E722+E721+E720)/3)/((E717+E718+E719)/3)</f>
        <v>1.2385617337861443</v>
      </c>
      <c r="H748" s="374" t="str">
        <f>IF(G748&gt;=1.2,"liquidez mejora fuerte",IF(G748&gt;=1,"liquidez estable",IF(G748&gt;=0.8,"liquidez deteriora leve","liquidez deteriora fuerte")))</f>
        <v>liquidez mejora fuerte</v>
      </c>
      <c r="I748" t="s">
        <v>65</v>
      </c>
    </row>
    <row r="749" spans="2:19">
      <c r="B749" s="489"/>
      <c r="C749" s="490"/>
      <c r="G749" s="294"/>
      <c r="H749" s="294"/>
    </row>
    <row r="750" spans="2:19">
      <c r="B750" s="487" t="s">
        <v>61</v>
      </c>
      <c r="C750" s="488"/>
      <c r="D750" t="s">
        <v>66</v>
      </c>
      <c r="G750" s="294">
        <f>MIN(3,STDEV(R717:R722)/MAX(ABS(AVERAGE(R717:R722)),1000))</f>
        <v>3</v>
      </c>
      <c r="H750" s="294">
        <f>MAX(0,100-(G750*30))</f>
        <v>10</v>
      </c>
      <c r="I750" t="s">
        <v>67</v>
      </c>
      <c r="R750" t="s">
        <v>68</v>
      </c>
    </row>
    <row r="751" spans="2:19">
      <c r="B751" s="489"/>
      <c r="C751" s="490"/>
      <c r="G751" s="294"/>
      <c r="H751" s="294"/>
    </row>
    <row r="752" spans="2:19">
      <c r="B752" s="491" t="s">
        <v>69</v>
      </c>
      <c r="C752" s="492"/>
      <c r="D752" t="s">
        <v>70</v>
      </c>
      <c r="F752" s="7"/>
      <c r="G752" s="294">
        <f>G736-(STDEV(R717:R722)*0.25)</f>
        <v>-116180.94374044669</v>
      </c>
      <c r="H752" s="294"/>
      <c r="I752" t="s">
        <v>71</v>
      </c>
    </row>
    <row r="753" spans="2:21">
      <c r="B753" s="491" t="s">
        <v>69</v>
      </c>
      <c r="C753" s="492"/>
      <c r="D753" t="s">
        <v>72</v>
      </c>
      <c r="F753" s="7"/>
      <c r="G753" s="294">
        <f>+G752/G728</f>
        <v>-3.7939050401722456</v>
      </c>
      <c r="H753" s="296"/>
      <c r="I753" t="s">
        <v>73</v>
      </c>
      <c r="U753" t="s">
        <v>353</v>
      </c>
    </row>
    <row r="754" spans="2:21">
      <c r="B754" s="491" t="s">
        <v>69</v>
      </c>
      <c r="C754" s="492"/>
      <c r="D754" t="s">
        <v>74</v>
      </c>
      <c r="G754" s="297">
        <f>+G753/P759</f>
        <v>-1.5175620160688983</v>
      </c>
      <c r="H754" s="294">
        <f>IF((G753/P759)&gt;=1.5,100,IF((G753/P759)&gt;=1.2,80,IF((G753/P759)&gt;=1,60,IF((G753/P759)&gt;=0.8,40,0))))</f>
        <v>0</v>
      </c>
    </row>
    <row r="755" spans="2:21">
      <c r="B755" s="493" t="s">
        <v>56</v>
      </c>
      <c r="C755" s="494"/>
      <c r="D755" t="s">
        <v>75</v>
      </c>
      <c r="F755" s="7"/>
      <c r="G755" s="294">
        <f>SUM(F717:F722)/SUM(G717:G722)</f>
        <v>0.99619077974829195</v>
      </c>
      <c r="H755" s="371">
        <f>IF(G755&gt;=1.1,100,IF(G755&gt;=1.05,80,IF(G755&gt;=1,70,IF(G755&gt;=0.95,50,IF(G755&gt;=0.85,35,10)))))</f>
        <v>50</v>
      </c>
      <c r="I755" t="s">
        <v>76</v>
      </c>
      <c r="Q755" s="23" t="s">
        <v>359</v>
      </c>
    </row>
    <row r="756" spans="2:21" ht="14.65" thickBot="1">
      <c r="B756" s="495" t="s">
        <v>69</v>
      </c>
      <c r="C756" s="496"/>
      <c r="D756" s="291" t="s">
        <v>15</v>
      </c>
      <c r="E756" s="291"/>
      <c r="F756" s="298"/>
      <c r="G756" s="299">
        <f>+(F726-G726)/F726</f>
        <v>4.5775689514956312E-4</v>
      </c>
      <c r="H756" s="300">
        <f>IF(G756&gt;=0.2,100,
IF(G756&gt;=0.1,80,
IF(G756&gt;=0.05,60,
IF(G756&gt;=0,40,
IF(G756&gt;=-0.05,20,0)))))</f>
        <v>40</v>
      </c>
      <c r="I756" t="s">
        <v>77</v>
      </c>
    </row>
    <row r="757" spans="2:21" ht="14.65" thickBot="1"/>
    <row r="758" spans="2:21">
      <c r="B758" s="497" t="s">
        <v>78</v>
      </c>
      <c r="C758" s="498"/>
      <c r="D758" s="189" t="s">
        <v>79</v>
      </c>
      <c r="E758" s="189" t="s">
        <v>40</v>
      </c>
      <c r="F758" s="183"/>
      <c r="I758" s="253" t="s">
        <v>80</v>
      </c>
      <c r="J758" s="375">
        <v>3</v>
      </c>
      <c r="K758" s="256" t="s">
        <v>81</v>
      </c>
      <c r="L758" s="256"/>
      <c r="M758" s="256"/>
      <c r="N758" s="256"/>
      <c r="O758" s="256"/>
      <c r="P758" s="254" t="s">
        <v>82</v>
      </c>
      <c r="Q758" s="254" t="s">
        <v>83</v>
      </c>
    </row>
    <row r="759" spans="2:21">
      <c r="B759" s="184"/>
      <c r="C759" s="182" t="s">
        <v>84</v>
      </c>
      <c r="D759" s="185">
        <v>0.6</v>
      </c>
      <c r="E759" s="15">
        <f>+H754</f>
        <v>0</v>
      </c>
      <c r="F759" s="181"/>
      <c r="I759" s="24" t="s">
        <v>85</v>
      </c>
      <c r="J759" s="4">
        <v>2.75</v>
      </c>
      <c r="K759" s="421">
        <v>48</v>
      </c>
      <c r="L759" s="256"/>
      <c r="M759" s="256"/>
      <c r="N759" s="256"/>
      <c r="O759" s="256"/>
      <c r="P759" s="254">
        <f>+IF(K759&lt;=24,J758,IF(K759&lt;=36,J759,IF(K759&lt;=48,J760,IF(K759&lt;=60,J761,"2"))))</f>
        <v>2.5</v>
      </c>
      <c r="Q759" s="255">
        <f>+IF(K759&lt;24,30.2%,IF(K759&lt;36,26%,IF(K759&lt;48,24.55%,IF(K759&lt;60,23.82%,"0%"))))</f>
        <v>0.2382</v>
      </c>
    </row>
    <row r="760" spans="2:21">
      <c r="B760" s="184"/>
      <c r="C760" s="182" t="s">
        <v>86</v>
      </c>
      <c r="D760" s="185">
        <v>0.25</v>
      </c>
      <c r="E760" s="15">
        <f>+H738</f>
        <v>-20</v>
      </c>
      <c r="F760" s="181"/>
      <c r="I760" s="24" t="s">
        <v>87</v>
      </c>
      <c r="J760" s="4">
        <v>2.5</v>
      </c>
    </row>
    <row r="761" spans="2:21" ht="14.65" thickBot="1">
      <c r="B761" s="184"/>
      <c r="C761" s="182" t="s">
        <v>15</v>
      </c>
      <c r="D761" s="185">
        <v>0.15</v>
      </c>
      <c r="E761" s="15">
        <f>+H756</f>
        <v>40</v>
      </c>
      <c r="F761" s="181"/>
      <c r="I761" s="50" t="s">
        <v>88</v>
      </c>
      <c r="J761" s="317">
        <v>2.25</v>
      </c>
    </row>
    <row r="762" spans="2:21" ht="14.65" thickBot="1">
      <c r="B762" s="186"/>
      <c r="C762" s="187"/>
      <c r="D762" s="187"/>
      <c r="E762" s="188" t="s">
        <v>89</v>
      </c>
      <c r="F762" s="195">
        <f>E759*D759 + E760*D760 + E761*D761</f>
        <v>1</v>
      </c>
    </row>
    <row r="763" spans="2:21" ht="14.65" thickBot="1">
      <c r="B763" s="499" t="s">
        <v>90</v>
      </c>
      <c r="C763" s="500"/>
      <c r="D763" s="189" t="s">
        <v>79</v>
      </c>
      <c r="E763" s="189" t="s">
        <v>40</v>
      </c>
      <c r="F763" s="183"/>
      <c r="H763" s="9"/>
      <c r="I763" s="313" t="s">
        <v>91</v>
      </c>
      <c r="J763" s="314"/>
      <c r="K763" s="315" t="s">
        <v>92</v>
      </c>
      <c r="L763" s="410"/>
      <c r="M763" s="410"/>
      <c r="N763" s="410"/>
      <c r="O763" s="410"/>
      <c r="P763" s="314"/>
    </row>
    <row r="764" spans="2:21">
      <c r="B764" s="184"/>
      <c r="C764" s="182" t="s">
        <v>93</v>
      </c>
      <c r="D764" s="190">
        <v>0.5</v>
      </c>
      <c r="E764" s="15">
        <f>+H746</f>
        <v>100</v>
      </c>
      <c r="F764" s="181"/>
      <c r="H764" s="182" t="s">
        <v>94</v>
      </c>
      <c r="I764" s="476">
        <f>+G731/P759</f>
        <v>114987.40066666665</v>
      </c>
      <c r="J764" s="477"/>
      <c r="K764" s="478">
        <f>ABS(PV(Q759/12,K759,I764))</f>
        <v>3537812.0611043689</v>
      </c>
      <c r="L764" s="479"/>
      <c r="M764" s="479"/>
      <c r="N764" s="479"/>
      <c r="O764" s="479"/>
      <c r="P764" s="480"/>
    </row>
    <row r="765" spans="2:21">
      <c r="B765" s="184"/>
      <c r="C765" s="182" t="s">
        <v>95</v>
      </c>
      <c r="D765" s="190">
        <v>0.3</v>
      </c>
      <c r="E765" s="15">
        <f>+H755</f>
        <v>50</v>
      </c>
      <c r="F765" s="181"/>
      <c r="H765" s="182" t="s">
        <v>96</v>
      </c>
      <c r="I765" s="476">
        <f>+G730/P759</f>
        <v>8277385.6959999995</v>
      </c>
      <c r="J765" s="477"/>
      <c r="K765" s="478">
        <f>ABS(PV(Q759/12,K759,I765))</f>
        <v>254669944.53254551</v>
      </c>
      <c r="L765" s="479"/>
      <c r="M765" s="479"/>
      <c r="N765" s="479"/>
      <c r="O765" s="479"/>
      <c r="P765" s="480"/>
    </row>
    <row r="766" spans="2:21" ht="14.65" thickBot="1">
      <c r="B766" s="184"/>
      <c r="C766" s="8" t="s">
        <v>97</v>
      </c>
      <c r="D766" s="185">
        <v>0.2</v>
      </c>
      <c r="E766" s="15">
        <f>+H740</f>
        <v>10</v>
      </c>
      <c r="F766" s="181"/>
      <c r="H766" s="257" t="s">
        <v>98</v>
      </c>
      <c r="I766" s="481">
        <f>+G732/P759</f>
        <v>140058.57</v>
      </c>
      <c r="J766" s="482"/>
      <c r="K766" s="483">
        <f>ABS(PV(Q759/12,K759,I766))</f>
        <v>4309175.573447586</v>
      </c>
      <c r="L766" s="484"/>
      <c r="M766" s="484"/>
      <c r="N766" s="484"/>
      <c r="O766" s="484"/>
      <c r="P766" s="485"/>
    </row>
    <row r="767" spans="2:21" ht="14.65" thickBot="1">
      <c r="B767" s="191"/>
      <c r="C767" s="182"/>
      <c r="D767" s="187"/>
      <c r="E767" s="188" t="s">
        <v>89</v>
      </c>
      <c r="F767" s="195">
        <f xml:space="preserve"> E764*D764 + E765*D765+E766*D766</f>
        <v>67</v>
      </c>
    </row>
    <row r="768" spans="2:21">
      <c r="B768" s="196" t="s">
        <v>99</v>
      </c>
      <c r="C768" s="197"/>
      <c r="D768" s="189" t="s">
        <v>79</v>
      </c>
      <c r="E768" s="189" t="s">
        <v>40</v>
      </c>
      <c r="F768" s="183"/>
      <c r="I768" s="486" t="s">
        <v>100</v>
      </c>
      <c r="J768" s="486"/>
      <c r="P768" s="8"/>
    </row>
    <row r="769" spans="1:42">
      <c r="B769" s="184"/>
      <c r="C769" s="182" t="s">
        <v>101</v>
      </c>
      <c r="D769" s="7">
        <v>0.6</v>
      </c>
      <c r="E769" s="15">
        <f>+H750</f>
        <v>10</v>
      </c>
      <c r="F769" s="181"/>
      <c r="I769" t="s">
        <v>102</v>
      </c>
      <c r="J769" t="s">
        <v>103</v>
      </c>
    </row>
    <row r="770" spans="1:42" ht="14.65" thickBot="1">
      <c r="B770" s="184"/>
      <c r="C770" s="182" t="s">
        <v>104</v>
      </c>
      <c r="D770" s="7">
        <v>0.4</v>
      </c>
      <c r="E770" s="201">
        <f>+H741</f>
        <v>70.849827496906641</v>
      </c>
      <c r="F770" s="181"/>
      <c r="I770" s="8" t="s">
        <v>105</v>
      </c>
      <c r="J770" t="s">
        <v>106</v>
      </c>
    </row>
    <row r="771" spans="1:42" ht="14.65" thickBot="1">
      <c r="B771" s="192"/>
      <c r="E771" s="193" t="s">
        <v>89</v>
      </c>
      <c r="F771" s="195">
        <f xml:space="preserve"> E769*D769 + E770*D770</f>
        <v>34.339930998762654</v>
      </c>
      <c r="I771" s="8" t="s">
        <v>107</v>
      </c>
      <c r="J771" t="s">
        <v>108</v>
      </c>
    </row>
    <row r="772" spans="1:42">
      <c r="B772" s="198" t="s">
        <v>109</v>
      </c>
      <c r="C772" s="199"/>
      <c r="D772" s="189" t="s">
        <v>79</v>
      </c>
      <c r="E772" s="189" t="s">
        <v>40</v>
      </c>
      <c r="F772" s="183"/>
      <c r="I772" s="8" t="s">
        <v>110</v>
      </c>
      <c r="J772" t="s">
        <v>111</v>
      </c>
    </row>
    <row r="773" spans="1:42" ht="14.65" thickBot="1">
      <c r="B773" s="194"/>
      <c r="C773" s="182" t="s">
        <v>112</v>
      </c>
      <c r="D773" s="7">
        <v>1</v>
      </c>
      <c r="E773" s="2">
        <f>+H734</f>
        <v>-20</v>
      </c>
      <c r="F773" s="181"/>
      <c r="I773" s="8" t="s">
        <v>113</v>
      </c>
      <c r="J773" t="s">
        <v>114</v>
      </c>
    </row>
    <row r="774" spans="1:42" ht="14.65" thickBot="1">
      <c r="B774" s="186"/>
      <c r="C774" s="187"/>
      <c r="D774" s="187"/>
      <c r="E774" s="188" t="s">
        <v>89</v>
      </c>
      <c r="F774" s="195">
        <f>+ E773*D773</f>
        <v>-20</v>
      </c>
      <c r="I774" s="8" t="s">
        <v>115</v>
      </c>
      <c r="J774" t="s">
        <v>106</v>
      </c>
    </row>
    <row r="775" spans="1:42" ht="14.65" thickBot="1">
      <c r="I775" s="8" t="s">
        <v>350</v>
      </c>
      <c r="J775" t="s">
        <v>108</v>
      </c>
    </row>
    <row r="776" spans="1:42">
      <c r="E776" s="423" t="s">
        <v>116</v>
      </c>
      <c r="F776" s="424">
        <f>(F762*0.4)+
(F767*0.3)+
(F771*0.2)+
(F774*0.1)</f>
        <v>25.367986199752529</v>
      </c>
    </row>
    <row r="777" spans="1:42">
      <c r="E777" s="425" t="s">
        <v>117</v>
      </c>
      <c r="F777" s="426">
        <f>MIN(1000,MAX(0,F776*10))</f>
        <v>253.67986199752528</v>
      </c>
    </row>
    <row r="778" spans="1:42" ht="14.65" thickBot="1"/>
    <row r="779" spans="1:42" ht="27" thickBot="1">
      <c r="A779" s="453" t="s">
        <v>395</v>
      </c>
      <c r="B779" s="454"/>
      <c r="C779" s="454"/>
      <c r="D779" s="454"/>
      <c r="E779" s="454"/>
      <c r="F779" s="388"/>
      <c r="G779" s="388"/>
      <c r="H779" s="389"/>
      <c r="I779" s="386"/>
      <c r="J779" s="386"/>
      <c r="K779" s="386"/>
      <c r="L779" s="386"/>
      <c r="M779" s="386"/>
      <c r="N779" s="386"/>
      <c r="O779" s="386"/>
      <c r="P779" s="386"/>
      <c r="Q779" s="386"/>
      <c r="R779" s="386"/>
      <c r="S779" s="386"/>
      <c r="T779" s="386"/>
      <c r="U779" s="386"/>
      <c r="V779" s="386"/>
      <c r="W779" s="386"/>
      <c r="X779" s="386"/>
      <c r="Y779" s="386"/>
      <c r="Z779" s="386"/>
      <c r="AA779" s="386"/>
      <c r="AB779" s="386"/>
      <c r="AC779" s="386"/>
      <c r="AD779" s="386"/>
      <c r="AE779" s="386"/>
      <c r="AF779" s="386"/>
      <c r="AG779" s="386"/>
      <c r="AH779" s="386"/>
      <c r="AI779" s="386"/>
      <c r="AJ779" s="386"/>
      <c r="AK779" s="386"/>
      <c r="AL779" s="386"/>
      <c r="AM779" s="386"/>
      <c r="AN779" s="386"/>
      <c r="AO779" s="386"/>
      <c r="AP779" s="390"/>
    </row>
    <row r="780" spans="1:42" ht="42.75" customHeight="1" thickBot="1">
      <c r="B780" s="405" t="s">
        <v>1</v>
      </c>
      <c r="C780" s="406" t="s">
        <v>2</v>
      </c>
      <c r="D780" s="406" t="s">
        <v>3</v>
      </c>
      <c r="E780" s="406" t="s">
        <v>4</v>
      </c>
      <c r="F780" s="406" t="s">
        <v>5</v>
      </c>
      <c r="G780" s="406" t="s">
        <v>6</v>
      </c>
      <c r="H780" s="406" t="s">
        <v>7</v>
      </c>
      <c r="I780" s="407" t="s">
        <v>388</v>
      </c>
      <c r="J780" s="407" t="s">
        <v>385</v>
      </c>
      <c r="K780" s="406" t="s">
        <v>386</v>
      </c>
      <c r="L780" s="406" t="s">
        <v>391</v>
      </c>
      <c r="M780" s="406" t="s">
        <v>392</v>
      </c>
      <c r="N780" s="406" t="s">
        <v>389</v>
      </c>
      <c r="O780" s="406" t="s">
        <v>390</v>
      </c>
      <c r="P780" s="406" t="s">
        <v>11</v>
      </c>
      <c r="Q780" s="406" t="s">
        <v>12</v>
      </c>
      <c r="R780" s="406" t="s">
        <v>13</v>
      </c>
      <c r="S780" s="406" t="s">
        <v>14</v>
      </c>
      <c r="T780" s="406" t="s">
        <v>15</v>
      </c>
      <c r="U780" s="406" t="s">
        <v>16</v>
      </c>
      <c r="V780" s="408" t="s">
        <v>17</v>
      </c>
      <c r="X780" s="394" t="s">
        <v>18</v>
      </c>
      <c r="Y780" s="395" t="s">
        <v>19</v>
      </c>
      <c r="Z780" s="394" t="s">
        <v>20</v>
      </c>
    </row>
    <row r="781" spans="1:42" ht="27.75" thickBot="1">
      <c r="B781" s="248">
        <v>1</v>
      </c>
      <c r="C781" s="396" t="s">
        <v>379</v>
      </c>
      <c r="D781" s="397">
        <v>15011.18</v>
      </c>
      <c r="E781" s="397">
        <v>856834.6</v>
      </c>
      <c r="F781" s="398">
        <v>1093157.1000000001</v>
      </c>
      <c r="G781" s="397">
        <v>251333.71</v>
      </c>
      <c r="H781" s="397">
        <v>404991.66</v>
      </c>
      <c r="I781" s="399">
        <v>5</v>
      </c>
      <c r="J781" s="399">
        <v>33</v>
      </c>
      <c r="K781" s="400">
        <v>0</v>
      </c>
      <c r="L781" s="400"/>
      <c r="M781" s="400"/>
      <c r="N781" s="400"/>
      <c r="O781" s="400"/>
      <c r="P781" s="401">
        <f t="shared" ref="P781:P786" si="61">+F781/I781</f>
        <v>218631.42</v>
      </c>
      <c r="Q781" s="401">
        <f t="shared" ref="Q781:Q786" si="62">+G781/J781</f>
        <v>7616.1730303030299</v>
      </c>
      <c r="R781" s="397">
        <f t="shared" ref="R781:R786" si="63">+F781-G781</f>
        <v>841823.39000000013</v>
      </c>
      <c r="S781" s="402">
        <f t="shared" ref="S781:S786" si="64">+G781/F781</f>
        <v>0.22991545314026682</v>
      </c>
      <c r="T781" s="403">
        <f t="shared" ref="T781:T786" si="65">(+F781-G781)/F781</f>
        <v>0.77008454685973315</v>
      </c>
      <c r="U781" s="400">
        <v>0</v>
      </c>
      <c r="V781" s="404">
        <v>26</v>
      </c>
      <c r="X781" s="12" t="s">
        <v>21</v>
      </c>
      <c r="Y781" s="13" t="s">
        <v>22</v>
      </c>
      <c r="Z781" s="12" t="s">
        <v>23</v>
      </c>
    </row>
    <row r="782" spans="1:42" ht="28.15" thickBot="1">
      <c r="B782" s="249">
        <v>2</v>
      </c>
      <c r="C782" s="301" t="s">
        <v>380</v>
      </c>
      <c r="D782" s="302">
        <v>856834.6</v>
      </c>
      <c r="E782" s="302">
        <v>542783.35</v>
      </c>
      <c r="F782" s="302">
        <v>1486076</v>
      </c>
      <c r="G782" s="302">
        <v>1800127.25</v>
      </c>
      <c r="H782" s="302">
        <v>1091109</v>
      </c>
      <c r="I782" s="304">
        <v>2</v>
      </c>
      <c r="J782" s="304">
        <v>46</v>
      </c>
      <c r="K782" s="305">
        <v>0</v>
      </c>
      <c r="L782" s="305"/>
      <c r="M782" s="305"/>
      <c r="N782" s="305"/>
      <c r="O782" s="305"/>
      <c r="P782" s="306">
        <f t="shared" si="61"/>
        <v>743038</v>
      </c>
      <c r="Q782" s="306">
        <f t="shared" si="62"/>
        <v>39133.20108695652</v>
      </c>
      <c r="R782" s="302">
        <f t="shared" si="63"/>
        <v>-314051.25</v>
      </c>
      <c r="S782" s="307">
        <f t="shared" si="64"/>
        <v>1.2113291985066712</v>
      </c>
      <c r="T782" s="308">
        <f t="shared" si="65"/>
        <v>-0.21132919850667126</v>
      </c>
      <c r="U782" s="305">
        <v>0</v>
      </c>
      <c r="V782" s="310">
        <v>401.19</v>
      </c>
      <c r="X782" s="12" t="s">
        <v>24</v>
      </c>
      <c r="Y782" s="13" t="s">
        <v>25</v>
      </c>
      <c r="Z782" s="12" t="s">
        <v>26</v>
      </c>
    </row>
    <row r="783" spans="1:42" ht="27.75" thickBot="1">
      <c r="B783" s="249">
        <v>3</v>
      </c>
      <c r="C783" s="301" t="s">
        <v>381</v>
      </c>
      <c r="D783" s="302">
        <v>542783.35</v>
      </c>
      <c r="E783" s="302">
        <v>46457.39</v>
      </c>
      <c r="F783" s="303">
        <v>2754.27</v>
      </c>
      <c r="G783" s="302">
        <v>499080.23</v>
      </c>
      <c r="H783" s="302">
        <v>272848.13</v>
      </c>
      <c r="I783" s="304">
        <v>2</v>
      </c>
      <c r="J783" s="304">
        <v>40</v>
      </c>
      <c r="K783" s="305">
        <v>0</v>
      </c>
      <c r="L783" s="305"/>
      <c r="M783" s="305"/>
      <c r="N783" s="305"/>
      <c r="O783" s="305"/>
      <c r="P783" s="306">
        <f t="shared" si="61"/>
        <v>1377.135</v>
      </c>
      <c r="Q783" s="306">
        <f t="shared" si="62"/>
        <v>12477.00575</v>
      </c>
      <c r="R783" s="302">
        <f t="shared" si="63"/>
        <v>-496325.95999999996</v>
      </c>
      <c r="S783" s="307">
        <f t="shared" si="64"/>
        <v>181.20236215040646</v>
      </c>
      <c r="T783" s="308">
        <f t="shared" si="65"/>
        <v>-180.20236215040646</v>
      </c>
      <c r="U783" s="305">
        <v>0</v>
      </c>
      <c r="V783" s="309"/>
      <c r="X783" s="12" t="s">
        <v>27</v>
      </c>
      <c r="Y783" s="13" t="s">
        <v>28</v>
      </c>
      <c r="Z783" s="14" t="s">
        <v>29</v>
      </c>
    </row>
    <row r="784" spans="1:42" ht="27.75" thickBot="1">
      <c r="B784" s="249">
        <v>4</v>
      </c>
      <c r="C784" s="301" t="s">
        <v>382</v>
      </c>
      <c r="D784" s="302">
        <v>46457.39</v>
      </c>
      <c r="E784" s="302">
        <v>63519.48</v>
      </c>
      <c r="F784" s="302">
        <v>812000</v>
      </c>
      <c r="G784" s="302">
        <v>794937.91</v>
      </c>
      <c r="H784" s="302">
        <v>232626.07</v>
      </c>
      <c r="I784" s="304">
        <v>2</v>
      </c>
      <c r="J784" s="304">
        <v>39</v>
      </c>
      <c r="K784" s="305">
        <v>0</v>
      </c>
      <c r="L784" s="305"/>
      <c r="M784" s="305"/>
      <c r="N784" s="305"/>
      <c r="O784" s="305"/>
      <c r="P784" s="306">
        <f t="shared" si="61"/>
        <v>406000</v>
      </c>
      <c r="Q784" s="306">
        <f t="shared" si="62"/>
        <v>20383.023333333334</v>
      </c>
      <c r="R784" s="302">
        <f t="shared" si="63"/>
        <v>17062.089999999967</v>
      </c>
      <c r="S784" s="307">
        <f t="shared" si="64"/>
        <v>0.97898757389162561</v>
      </c>
      <c r="T784" s="308">
        <f t="shared" si="65"/>
        <v>2.1012426108374345E-2</v>
      </c>
      <c r="U784" s="305">
        <v>0</v>
      </c>
      <c r="V784" s="310">
        <v>390</v>
      </c>
      <c r="X784" s="12" t="s">
        <v>30</v>
      </c>
      <c r="Y784" s="13" t="s">
        <v>31</v>
      </c>
      <c r="Z784" s="12" t="s">
        <v>32</v>
      </c>
    </row>
    <row r="785" spans="2:26" ht="14.65" thickBot="1">
      <c r="B785" s="249">
        <v>5</v>
      </c>
      <c r="C785" s="301" t="s">
        <v>383</v>
      </c>
      <c r="D785" s="302">
        <v>63519.48</v>
      </c>
      <c r="E785" s="302">
        <v>263217.71999999997</v>
      </c>
      <c r="F785" s="302">
        <v>464000</v>
      </c>
      <c r="G785" s="302">
        <v>264301.76</v>
      </c>
      <c r="H785" s="302">
        <v>299940.76</v>
      </c>
      <c r="I785" s="304">
        <v>1</v>
      </c>
      <c r="J785" s="304">
        <v>29</v>
      </c>
      <c r="K785" s="305"/>
      <c r="L785" s="305"/>
      <c r="M785" s="305"/>
      <c r="N785" s="305"/>
      <c r="O785" s="305"/>
      <c r="P785" s="306">
        <f t="shared" si="61"/>
        <v>464000</v>
      </c>
      <c r="Q785" s="306">
        <f t="shared" si="62"/>
        <v>9113.853793103448</v>
      </c>
      <c r="R785" s="302">
        <f t="shared" si="63"/>
        <v>199698.24</v>
      </c>
      <c r="S785" s="307">
        <f t="shared" si="64"/>
        <v>0.56961586206896553</v>
      </c>
      <c r="T785" s="308">
        <f t="shared" si="65"/>
        <v>0.43038413793103447</v>
      </c>
      <c r="U785" s="305"/>
      <c r="V785" s="303">
        <v>1067.03</v>
      </c>
      <c r="X785" s="12"/>
      <c r="Y785" s="13"/>
      <c r="Z785" s="12"/>
    </row>
    <row r="786" spans="2:26" ht="27.75" thickBot="1">
      <c r="B786" s="250">
        <v>6</v>
      </c>
      <c r="C786" s="301" t="s">
        <v>384</v>
      </c>
      <c r="D786" s="302">
        <v>263217.71999999997</v>
      </c>
      <c r="E786" s="302">
        <v>88457.46</v>
      </c>
      <c r="F786" s="302">
        <v>3906.36</v>
      </c>
      <c r="G786" s="302">
        <v>178666.62</v>
      </c>
      <c r="H786" s="302">
        <v>196424.7</v>
      </c>
      <c r="I786" s="304">
        <v>1</v>
      </c>
      <c r="J786" s="304">
        <v>25</v>
      </c>
      <c r="K786" s="305">
        <v>0</v>
      </c>
      <c r="L786" s="305"/>
      <c r="M786" s="305"/>
      <c r="N786" s="305"/>
      <c r="O786" s="305"/>
      <c r="P786" s="306">
        <f t="shared" si="61"/>
        <v>3906.36</v>
      </c>
      <c r="Q786" s="306">
        <f t="shared" si="62"/>
        <v>7146.6647999999996</v>
      </c>
      <c r="R786" s="302">
        <f t="shared" si="63"/>
        <v>-174760.26</v>
      </c>
      <c r="S786" s="307">
        <f t="shared" si="64"/>
        <v>45.737366755752156</v>
      </c>
      <c r="T786" s="308">
        <f t="shared" si="65"/>
        <v>-44.737366755752156</v>
      </c>
      <c r="U786" s="305">
        <v>0</v>
      </c>
      <c r="V786" s="309">
        <v>390</v>
      </c>
      <c r="X786" s="12" t="s">
        <v>33</v>
      </c>
      <c r="Y786" s="13" t="s">
        <v>34</v>
      </c>
      <c r="Z786" s="12" t="s">
        <v>35</v>
      </c>
    </row>
    <row r="787" spans="2:26">
      <c r="C787" s="270" t="s">
        <v>36</v>
      </c>
      <c r="D787" s="262"/>
      <c r="E787" s="262"/>
      <c r="F787" s="271">
        <f>SUM(F781:F786)</f>
        <v>3861893.73</v>
      </c>
      <c r="G787" s="271">
        <f>SUM(G781:G786)</f>
        <v>3788447.4800000004</v>
      </c>
      <c r="I787" s="2"/>
      <c r="J787" s="2"/>
      <c r="Q787" s="264"/>
      <c r="R787" s="262"/>
      <c r="S787" s="266"/>
      <c r="T787" s="267"/>
    </row>
    <row r="788" spans="2:26" ht="14.65" thickBot="1">
      <c r="D788" s="262"/>
      <c r="E788" s="262"/>
      <c r="I788" s="2"/>
      <c r="J788" s="2"/>
      <c r="P788" s="263"/>
      <c r="Q788" s="264"/>
      <c r="R788" s="262"/>
      <c r="S788" s="266"/>
      <c r="T788" s="267"/>
      <c r="X788" s="268"/>
      <c r="Y788" s="269"/>
      <c r="Z788" s="268"/>
    </row>
    <row r="789" spans="2:26" ht="14.65" thickBot="1">
      <c r="C789" s="16" t="s">
        <v>37</v>
      </c>
      <c r="D789" s="272"/>
      <c r="E789" s="272">
        <f>+G795</f>
        <v>310211.66666666663</v>
      </c>
      <c r="F789" s="272">
        <f>+G794</f>
        <v>643648.95499999996</v>
      </c>
      <c r="G789" s="273">
        <f>+AVERAGE(G781:G786)</f>
        <v>631407.91333333345</v>
      </c>
      <c r="I789" s="276">
        <f>+AVERAGE(I781:I786)</f>
        <v>2.1666666666666665</v>
      </c>
      <c r="J789" s="277">
        <f>+AVERAGE(J781:J786)</f>
        <v>35.333333333333336</v>
      </c>
      <c r="P789" s="311">
        <f>+AVERAGE(P781:P786)</f>
        <v>306158.81916666671</v>
      </c>
      <c r="Q789" s="272">
        <f>+AVERAGE(Q781:Q786)</f>
        <v>15978.320298949388</v>
      </c>
      <c r="R789" s="273">
        <f>+AVERAGE(R781:R786)</f>
        <v>12241.041666666686</v>
      </c>
      <c r="S789" s="9"/>
      <c r="T789" s="9"/>
      <c r="X789" s="268"/>
      <c r="Y789" s="269"/>
      <c r="Z789" s="268"/>
    </row>
    <row r="790" spans="2:26" ht="14.65" thickBot="1">
      <c r="C790" s="6" t="s">
        <v>38</v>
      </c>
      <c r="D790" s="274"/>
      <c r="E790" s="274">
        <f>(E781*0.05)+(E782*0.1)+(E783*0.1)+(E784*0.15)+(E785*0.25)+(E786*0.35)</f>
        <v>208058.26700000002</v>
      </c>
      <c r="F790" s="274">
        <f>(F781*0.05)+(F782*0.1)+(F783*0.1)+(F784*0.15)+(F785*0.25)+(F786*0.35)</f>
        <v>442708.10800000001</v>
      </c>
      <c r="G790" s="275">
        <f>(G781*0.05)+(G782*0.1)+(G783*0.1)+(G784*0.15)+(G785*0.25)+(G786*0.35)</f>
        <v>490336.87699999998</v>
      </c>
      <c r="I790" s="9"/>
      <c r="P790" s="312">
        <f>(P781*0.05)+(P782*0.1)+(P783*0.1)+(P784*0.15)+(P785*0.25)+(P786*0.35)</f>
        <v>263640.31050000002</v>
      </c>
      <c r="Q790" s="274">
        <f>(Q781*0.05)+(Q782*0.1)+(Q783*0.1)+(Q784*0.15)+(Q785*0.25)+(Q786*0.35)</f>
        <v>13379.078963486667</v>
      </c>
      <c r="R790" s="275">
        <f>(R781*0.05)+(R782*0.1)+(R783*0.1)+(R784*0.15)+(R785*0.25)+(R786*0.35)</f>
        <v>-47628.768999999993</v>
      </c>
      <c r="S790" s="9"/>
      <c r="T790" s="9"/>
    </row>
    <row r="791" spans="2:26" ht="14.65" thickBot="1"/>
    <row r="792" spans="2:26" ht="14.65" thickBot="1">
      <c r="D792" s="283" t="s">
        <v>39</v>
      </c>
      <c r="E792" s="284"/>
      <c r="F792" s="284"/>
      <c r="G792" s="429">
        <v>27144.5</v>
      </c>
    </row>
    <row r="793" spans="2:26" ht="14.65" thickBot="1">
      <c r="G793" s="278"/>
      <c r="H793" s="18" t="s">
        <v>40</v>
      </c>
    </row>
    <row r="794" spans="2:26">
      <c r="D794" s="16" t="s">
        <v>387</v>
      </c>
      <c r="E794" s="286"/>
      <c r="F794" s="286"/>
      <c r="G794" s="287">
        <f>+AVERAGE(F781:F786)</f>
        <v>643648.95499999996</v>
      </c>
      <c r="H794" s="288"/>
      <c r="I794" s="17" t="s">
        <v>41</v>
      </c>
    </row>
    <row r="795" spans="2:26">
      <c r="D795" s="3" t="s">
        <v>18</v>
      </c>
      <c r="G795" s="279">
        <f>+AVERAGE(E781:E786)</f>
        <v>310211.66666666663</v>
      </c>
      <c r="H795" s="289"/>
      <c r="I795" t="s">
        <v>42</v>
      </c>
    </row>
    <row r="796" spans="2:26">
      <c r="D796" s="3" t="s">
        <v>43</v>
      </c>
      <c r="G796" s="279">
        <f>(E786*0.5)+(E785*0.3)+(E784*0.2)</f>
        <v>135897.94200000001</v>
      </c>
      <c r="H796" s="289"/>
    </row>
    <row r="797" spans="2:26">
      <c r="D797" s="3" t="s">
        <v>44</v>
      </c>
      <c r="G797" s="279">
        <f>AVERAGE(E781:E783)</f>
        <v>482025.11333333328</v>
      </c>
      <c r="H797" s="289"/>
    </row>
    <row r="798" spans="2:26">
      <c r="D798" s="3" t="s">
        <v>351</v>
      </c>
      <c r="G798" s="370">
        <f>(AVERAGE(H784:H786) - AVERAGE(H781:H783)) / MAX(ABS(AVERAGE(H781:H783)), 1000)</f>
        <v>-0.58789562811481955</v>
      </c>
      <c r="H798" s="4">
        <f>IF(G798&gt;=1.2,100,IF(G798&gt;=1,80,IF(G798&gt;=0.8,50,IF(G798&gt;=0.5,30,IF(G798&gt;=0.2,0,-20)))))</f>
        <v>-20</v>
      </c>
      <c r="I798" s="501" t="s">
        <v>354</v>
      </c>
      <c r="J798" s="502"/>
      <c r="K798" s="502"/>
      <c r="L798" s="502"/>
      <c r="M798" s="502"/>
      <c r="N798" s="502"/>
      <c r="O798" s="502"/>
      <c r="P798" s="502"/>
    </row>
    <row r="799" spans="2:26">
      <c r="D799" s="369" t="s">
        <v>352</v>
      </c>
      <c r="E799" s="23"/>
      <c r="F799" s="23"/>
      <c r="G799" s="370">
        <f>(AVERAGE(R784:R786) - AVERAGE(R781:R783)) / MAX(ABS(AVERAGE(R781:R783)), 1000)</f>
        <v>0.33561755354703576</v>
      </c>
      <c r="H799" s="202">
        <f>IF(G799&gt;=1.2,100,IF(G799&gt;=1,80,IF(G799&gt;=0.8,50,IF(G799&gt;=0.5,30,IF(G799&gt;=0.2,0,-20)))))</f>
        <v>0</v>
      </c>
      <c r="I799" s="502"/>
      <c r="J799" s="502"/>
      <c r="K799" s="502"/>
      <c r="L799" s="502"/>
      <c r="M799" s="502"/>
      <c r="N799" s="502"/>
      <c r="O799" s="502"/>
      <c r="P799" s="502"/>
    </row>
    <row r="800" spans="2:26">
      <c r="D800" s="3" t="s">
        <v>45</v>
      </c>
      <c r="G800" s="265">
        <f>(SUM(F781:F786)*G820)/6</f>
        <v>-69246.997831777626</v>
      </c>
      <c r="H800" s="290"/>
      <c r="I800" t="s">
        <v>46</v>
      </c>
    </row>
    <row r="801" spans="2:19">
      <c r="D801" s="3" t="s">
        <v>47</v>
      </c>
      <c r="G801" s="265">
        <f>(R781*0.05)+(R782*0.1)+(R783*0.1)+(R784*0.15)+(R785*0.25)+(R786*0.35)</f>
        <v>-47628.768999999993</v>
      </c>
      <c r="H801" s="290"/>
      <c r="I801" t="s">
        <v>48</v>
      </c>
    </row>
    <row r="802" spans="2:19">
      <c r="D802" s="3" t="s">
        <v>49</v>
      </c>
      <c r="F802" s="280" t="str">
        <f>+IF(G802&lt;0.75,"Muy Sano",IF(G802&lt;0.85,"Sano",IF(G802&lt;0.95,"Presionado",IF(G802&gt;0.95,"Riesgoso"))))</f>
        <v>Riesgoso</v>
      </c>
      <c r="G802" s="281">
        <f>(S781*0.05)+(S782*0.1)+(S783*0.1)+(S784*0.15)+(S785*0.25)+(S786*0.35)</f>
        <v>34.550195373662561</v>
      </c>
      <c r="H802" s="202">
        <f>+IF(G802&lt;0.75,100,IF(G802&lt;0.8,80,IF(G802&lt;0.85,50,IF(G802&lt;0.9,30,IF(G802&lt;0.95,15,IF(G802&lt;1,0,-20))))))</f>
        <v>-20</v>
      </c>
      <c r="I802" t="s">
        <v>50</v>
      </c>
      <c r="S802" t="s">
        <v>355</v>
      </c>
    </row>
    <row r="803" spans="2:19">
      <c r="D803" s="3" t="s">
        <v>21</v>
      </c>
      <c r="G803" s="282">
        <f>+SUM(K781:K786)</f>
        <v>0</v>
      </c>
      <c r="H803" s="289"/>
      <c r="I803" t="s">
        <v>51</v>
      </c>
    </row>
    <row r="804" spans="2:19">
      <c r="D804" s="3" t="s">
        <v>52</v>
      </c>
      <c r="G804" s="15">
        <f>AVERAGE(E781:E786)/AVERAGE(F781:F786)</f>
        <v>0.48195785024876897</v>
      </c>
      <c r="H804" s="202">
        <f>+IF(G804&gt;15%,100,IF(G804&gt;10%,80,IF(G804&gt;5%,60,IF(G804&gt;3%,50,IF(G804&gt;1.5%,20,IF(G804&lt;1.5%,10,IF(G804=0,0,-10)))))))</f>
        <v>100</v>
      </c>
      <c r="I804" t="s">
        <v>53</v>
      </c>
    </row>
    <row r="805" spans="2:19" ht="14.65" thickBot="1">
      <c r="D805" s="6" t="s">
        <v>54</v>
      </c>
      <c r="E805" s="291"/>
      <c r="F805" s="291"/>
      <c r="G805" s="292">
        <f>1 - (STDEV(F781:F786)/AVERAGE(F781:F786))</f>
        <v>6.9791801537988696E-2</v>
      </c>
      <c r="H805" s="293">
        <f>MAX(0,MIN(100,G805*100))</f>
        <v>6.97918015379887</v>
      </c>
      <c r="I805" t="s">
        <v>55</v>
      </c>
    </row>
    <row r="806" spans="2:19" ht="14.65" thickBot="1">
      <c r="H806" s="18" t="s">
        <v>40</v>
      </c>
    </row>
    <row r="807" spans="2:19">
      <c r="B807" s="503"/>
      <c r="C807" s="504"/>
      <c r="D807" s="324"/>
      <c r="E807" s="324"/>
      <c r="F807" s="286"/>
      <c r="G807" s="325"/>
      <c r="H807" s="325"/>
    </row>
    <row r="808" spans="2:19">
      <c r="B808" s="489"/>
      <c r="C808" s="490"/>
      <c r="F808" s="8"/>
      <c r="G808" s="294"/>
      <c r="H808" s="294"/>
    </row>
    <row r="809" spans="2:19">
      <c r="B809" s="493" t="s">
        <v>56</v>
      </c>
      <c r="C809" s="494"/>
      <c r="D809" t="s">
        <v>57</v>
      </c>
      <c r="F809" s="8"/>
      <c r="G809" s="294">
        <f>(SUM(E781:E786)-MAX(E781:E786)-MIN(E781:E786))/(COUNT(E781:E786)-2)</f>
        <v>239494.50249999994</v>
      </c>
      <c r="H809" s="295"/>
      <c r="I809" t="s">
        <v>58</v>
      </c>
    </row>
    <row r="810" spans="2:19">
      <c r="B810" s="493" t="s">
        <v>56</v>
      </c>
      <c r="C810" s="494"/>
      <c r="D810" t="s">
        <v>59</v>
      </c>
      <c r="F810" s="8"/>
      <c r="G810" s="294">
        <f>+G809/G792</f>
        <v>8.8229476505369391</v>
      </c>
      <c r="H810" s="295">
        <f>IF(G810&lt;0.5,0,IF(G810&lt;1,20,IF(G810&lt;2,50,IF(G810&lt;3,70,IF(G810&lt;5,90,100)))))</f>
        <v>100</v>
      </c>
      <c r="I810" t="s">
        <v>60</v>
      </c>
    </row>
    <row r="811" spans="2:19">
      <c r="B811" s="487" t="s">
        <v>61</v>
      </c>
      <c r="C811" s="488"/>
      <c r="D811" t="s">
        <v>30</v>
      </c>
      <c r="G811" s="294">
        <f>_xlfn.STDEV.S(F781:F786)/AVERAGE(F781:F786)</f>
        <v>0.9302081984620113</v>
      </c>
      <c r="H811" s="294">
        <f>MAX(0,100-(G811*40))</f>
        <v>62.791672061519549</v>
      </c>
      <c r="I811" s="17" t="s">
        <v>62</v>
      </c>
    </row>
    <row r="812" spans="2:19">
      <c r="B812" s="505" t="s">
        <v>63</v>
      </c>
      <c r="C812" s="506"/>
      <c r="D812" t="s">
        <v>64</v>
      </c>
      <c r="G812" s="316">
        <f>((E786+E785+E784)/3)/((E781+E782+E783)/3)</f>
        <v>0.28711827697718711</v>
      </c>
      <c r="H812" s="374" t="str">
        <f>IF(G812&gt;=1.2,"liquidez mejora fuerte",IF(G812&gt;=1,"liquidez estable",IF(G812&gt;=0.8,"liquidez deteriora leve","liquidez deteriora fuerte")))</f>
        <v>liquidez deteriora fuerte</v>
      </c>
      <c r="I812" t="s">
        <v>65</v>
      </c>
    </row>
    <row r="813" spans="2:19">
      <c r="B813" s="489"/>
      <c r="C813" s="490"/>
      <c r="G813" s="294"/>
      <c r="H813" s="294"/>
    </row>
    <row r="814" spans="2:19">
      <c r="B814" s="487" t="s">
        <v>61</v>
      </c>
      <c r="C814" s="488"/>
      <c r="D814" t="s">
        <v>66</v>
      </c>
      <c r="G814" s="294">
        <f>MIN(3,STDEV(R781:R786)/MAX(ABS(AVERAGE(R781:R786)),1000))</f>
        <v>3</v>
      </c>
      <c r="H814" s="294">
        <f>MAX(0,100-(G814*30))</f>
        <v>10</v>
      </c>
      <c r="I814" t="s">
        <v>67</v>
      </c>
      <c r="R814" t="s">
        <v>68</v>
      </c>
    </row>
    <row r="815" spans="2:19">
      <c r="B815" s="489"/>
      <c r="C815" s="490"/>
      <c r="G815" s="294"/>
      <c r="H815" s="294"/>
    </row>
    <row r="816" spans="2:19">
      <c r="B816" s="491" t="s">
        <v>69</v>
      </c>
      <c r="C816" s="492"/>
      <c r="D816" t="s">
        <v>70</v>
      </c>
      <c r="F816" s="7"/>
      <c r="G816" s="294">
        <f>G800-(STDEV(R781:R786)*0.25)</f>
        <v>-187750.52404463969</v>
      </c>
      <c r="H816" s="294"/>
      <c r="I816" t="s">
        <v>71</v>
      </c>
    </row>
    <row r="817" spans="2:21">
      <c r="B817" s="491" t="s">
        <v>69</v>
      </c>
      <c r="C817" s="492"/>
      <c r="D817" t="s">
        <v>72</v>
      </c>
      <c r="F817" s="7"/>
      <c r="G817" s="294">
        <f>+G816/G792</f>
        <v>-6.9167059273384917</v>
      </c>
      <c r="H817" s="296"/>
      <c r="I817" t="s">
        <v>73</v>
      </c>
      <c r="U817" t="s">
        <v>353</v>
      </c>
    </row>
    <row r="818" spans="2:21">
      <c r="B818" s="491" t="s">
        <v>69</v>
      </c>
      <c r="C818" s="492"/>
      <c r="D818" t="s">
        <v>74</v>
      </c>
      <c r="G818" s="297">
        <f>+G817/P823</f>
        <v>-2.7666823709353965</v>
      </c>
      <c r="H818" s="294">
        <f>IF((G817/P823)&gt;=1.5,100,IF((G817/P823)&gt;=1.2,80,IF((G817/P823)&gt;=1,60,IF((G817/P823)&gt;=0.8,40,0))))</f>
        <v>0</v>
      </c>
    </row>
    <row r="819" spans="2:21">
      <c r="B819" s="493" t="s">
        <v>56</v>
      </c>
      <c r="C819" s="494"/>
      <c r="D819" t="s">
        <v>75</v>
      </c>
      <c r="F819" s="7"/>
      <c r="G819" s="294">
        <f>SUM(F781:F786)/SUM(G781:G786)</f>
        <v>1.0193868993532937</v>
      </c>
      <c r="H819" s="371">
        <f>IF(G819&gt;=1.1,100,IF(G819&gt;=1.05,80,IF(G819&gt;=1,70,IF(G819&gt;=0.95,50,IF(G819&gt;=0.85,35,10)))))</f>
        <v>70</v>
      </c>
      <c r="I819" t="s">
        <v>76</v>
      </c>
      <c r="Q819" s="23" t="s">
        <v>359</v>
      </c>
    </row>
    <row r="820" spans="2:21" ht="14.65" thickBot="1">
      <c r="B820" s="495" t="s">
        <v>69</v>
      </c>
      <c r="C820" s="496"/>
      <c r="D820" s="291" t="s">
        <v>15</v>
      </c>
      <c r="E820" s="291"/>
      <c r="F820" s="298"/>
      <c r="G820" s="299">
        <f>+(F790-G790)/F790</f>
        <v>-0.10758503885363666</v>
      </c>
      <c r="H820" s="300">
        <f>IF(G820&gt;=0.2,100,
IF(G820&gt;=0.1,80,
IF(G820&gt;=0.05,60,
IF(G820&gt;=0,40,
IF(G820&gt;=-0.05,20,0)))))</f>
        <v>0</v>
      </c>
      <c r="I820" t="s">
        <v>77</v>
      </c>
    </row>
    <row r="821" spans="2:21" ht="14.65" thickBot="1"/>
    <row r="822" spans="2:21">
      <c r="B822" s="497" t="s">
        <v>78</v>
      </c>
      <c r="C822" s="498"/>
      <c r="D822" s="189" t="s">
        <v>79</v>
      </c>
      <c r="E822" s="189" t="s">
        <v>40</v>
      </c>
      <c r="F822" s="183"/>
      <c r="I822" s="253" t="s">
        <v>80</v>
      </c>
      <c r="J822" s="375">
        <v>3</v>
      </c>
      <c r="K822" s="256" t="s">
        <v>81</v>
      </c>
      <c r="L822" s="256"/>
      <c r="M822" s="256"/>
      <c r="N822" s="256"/>
      <c r="O822" s="256"/>
      <c r="P822" s="254" t="s">
        <v>82</v>
      </c>
      <c r="Q822" s="254" t="s">
        <v>83</v>
      </c>
    </row>
    <row r="823" spans="2:21">
      <c r="B823" s="184"/>
      <c r="C823" s="182" t="s">
        <v>84</v>
      </c>
      <c r="D823" s="185">
        <v>0.6</v>
      </c>
      <c r="E823" s="15">
        <f>+H818</f>
        <v>0</v>
      </c>
      <c r="F823" s="181"/>
      <c r="I823" s="24" t="s">
        <v>85</v>
      </c>
      <c r="J823" s="4">
        <v>2.75</v>
      </c>
      <c r="K823" s="421">
        <v>48</v>
      </c>
      <c r="L823" s="256"/>
      <c r="M823" s="256"/>
      <c r="N823" s="256"/>
      <c r="O823" s="256"/>
      <c r="P823" s="254">
        <f>+IF(K823&lt;=24,J822,IF(K823&lt;=36,J823,IF(K823&lt;=48,J824,IF(K823&lt;=60,J825,"2"))))</f>
        <v>2.5</v>
      </c>
      <c r="Q823" s="255">
        <f>+IF(K823&lt;24,30.2%,IF(K823&lt;36,26%,IF(K823&lt;48,24.55%,IF(K823&lt;60,23.82%,"0%"))))</f>
        <v>0.2382</v>
      </c>
    </row>
    <row r="824" spans="2:21">
      <c r="B824" s="184"/>
      <c r="C824" s="182" t="s">
        <v>86</v>
      </c>
      <c r="D824" s="185">
        <v>0.25</v>
      </c>
      <c r="E824" s="15">
        <f>+H802</f>
        <v>-20</v>
      </c>
      <c r="F824" s="181"/>
      <c r="I824" s="24" t="s">
        <v>87</v>
      </c>
      <c r="J824" s="4">
        <v>2.5</v>
      </c>
    </row>
    <row r="825" spans="2:21" ht="14.65" thickBot="1">
      <c r="B825" s="184"/>
      <c r="C825" s="182" t="s">
        <v>15</v>
      </c>
      <c r="D825" s="185">
        <v>0.15</v>
      </c>
      <c r="E825" s="15">
        <f>+H820</f>
        <v>0</v>
      </c>
      <c r="F825" s="181"/>
      <c r="I825" s="50" t="s">
        <v>88</v>
      </c>
      <c r="J825" s="317">
        <v>2.25</v>
      </c>
    </row>
    <row r="826" spans="2:21" ht="14.65" thickBot="1">
      <c r="B826" s="186"/>
      <c r="C826" s="187"/>
      <c r="D826" s="187"/>
      <c r="E826" s="188" t="s">
        <v>89</v>
      </c>
      <c r="F826" s="195">
        <f>E823*D823 + E824*D824 + E825*D825</f>
        <v>-5</v>
      </c>
    </row>
    <row r="827" spans="2:21" ht="14.65" thickBot="1">
      <c r="B827" s="499" t="s">
        <v>90</v>
      </c>
      <c r="C827" s="500"/>
      <c r="D827" s="189" t="s">
        <v>79</v>
      </c>
      <c r="E827" s="189" t="s">
        <v>40</v>
      </c>
      <c r="F827" s="183"/>
      <c r="H827" s="9"/>
      <c r="I827" s="313" t="s">
        <v>91</v>
      </c>
      <c r="J827" s="314"/>
      <c r="K827" s="315" t="s">
        <v>92</v>
      </c>
      <c r="L827" s="410"/>
      <c r="M827" s="410"/>
      <c r="N827" s="410"/>
      <c r="O827" s="410"/>
      <c r="P827" s="314"/>
    </row>
    <row r="828" spans="2:21">
      <c r="B828" s="184"/>
      <c r="C828" s="182" t="s">
        <v>93</v>
      </c>
      <c r="D828" s="190">
        <v>0.5</v>
      </c>
      <c r="E828" s="15">
        <f>+H810</f>
        <v>100</v>
      </c>
      <c r="F828" s="181"/>
      <c r="H828" s="182" t="s">
        <v>94</v>
      </c>
      <c r="I828" s="476">
        <f>+G795/P823</f>
        <v>124084.66666666666</v>
      </c>
      <c r="J828" s="477"/>
      <c r="K828" s="478">
        <f>ABS(PV(Q823/12,K823,I828))</f>
        <v>3817707.2251943294</v>
      </c>
      <c r="L828" s="479"/>
      <c r="M828" s="479"/>
      <c r="N828" s="479"/>
      <c r="O828" s="479"/>
      <c r="P828" s="480"/>
    </row>
    <row r="829" spans="2:21">
      <c r="B829" s="184"/>
      <c r="C829" s="182" t="s">
        <v>95</v>
      </c>
      <c r="D829" s="190">
        <v>0.3</v>
      </c>
      <c r="E829" s="15">
        <f>+H819</f>
        <v>70</v>
      </c>
      <c r="F829" s="181"/>
      <c r="H829" s="182" t="s">
        <v>96</v>
      </c>
      <c r="I829" s="476">
        <f>+G794/P823</f>
        <v>257459.58199999999</v>
      </c>
      <c r="J829" s="477"/>
      <c r="K829" s="478">
        <f>ABS(PV(Q823/12,K823,I829))</f>
        <v>7921247.1032970389</v>
      </c>
      <c r="L829" s="479"/>
      <c r="M829" s="479"/>
      <c r="N829" s="479"/>
      <c r="O829" s="479"/>
      <c r="P829" s="480"/>
    </row>
    <row r="830" spans="2:21" ht="14.65" thickBot="1">
      <c r="B830" s="184"/>
      <c r="C830" s="8" t="s">
        <v>97</v>
      </c>
      <c r="D830" s="185">
        <v>0.2</v>
      </c>
      <c r="E830" s="15">
        <f>+H804</f>
        <v>100</v>
      </c>
      <c r="F830" s="181"/>
      <c r="H830" s="257" t="s">
        <v>98</v>
      </c>
      <c r="I830" s="481">
        <f>+G796/P823</f>
        <v>54359.176800000001</v>
      </c>
      <c r="J830" s="482"/>
      <c r="K830" s="483">
        <f>ABS(PV(Q823/12,K823,I830))</f>
        <v>1672466.2893479399</v>
      </c>
      <c r="L830" s="484"/>
      <c r="M830" s="484"/>
      <c r="N830" s="484"/>
      <c r="O830" s="484"/>
      <c r="P830" s="485"/>
    </row>
    <row r="831" spans="2:21" ht="14.65" thickBot="1">
      <c r="B831" s="191"/>
      <c r="C831" s="182"/>
      <c r="D831" s="187"/>
      <c r="E831" s="188" t="s">
        <v>89</v>
      </c>
      <c r="F831" s="195">
        <f xml:space="preserve"> E828*D828 + E829*D829+E830*D830</f>
        <v>91</v>
      </c>
    </row>
    <row r="832" spans="2:21">
      <c r="B832" s="196" t="s">
        <v>99</v>
      </c>
      <c r="C832" s="197"/>
      <c r="D832" s="189" t="s">
        <v>79</v>
      </c>
      <c r="E832" s="189" t="s">
        <v>40</v>
      </c>
      <c r="F832" s="183"/>
      <c r="I832" s="486" t="s">
        <v>100</v>
      </c>
      <c r="J832" s="486"/>
      <c r="P832" s="8"/>
    </row>
    <row r="833" spans="1:42">
      <c r="B833" s="184"/>
      <c r="C833" s="182" t="s">
        <v>101</v>
      </c>
      <c r="D833" s="7">
        <v>0.6</v>
      </c>
      <c r="E833" s="15">
        <f>+H814</f>
        <v>10</v>
      </c>
      <c r="F833" s="181"/>
      <c r="I833" t="s">
        <v>102</v>
      </c>
      <c r="J833" t="s">
        <v>103</v>
      </c>
    </row>
    <row r="834" spans="1:42" ht="14.65" thickBot="1">
      <c r="B834" s="184"/>
      <c r="C834" s="182" t="s">
        <v>104</v>
      </c>
      <c r="D834" s="7">
        <v>0.4</v>
      </c>
      <c r="E834" s="201">
        <f>+H805</f>
        <v>6.97918015379887</v>
      </c>
      <c r="F834" s="181"/>
      <c r="I834" s="8" t="s">
        <v>105</v>
      </c>
      <c r="J834" t="s">
        <v>106</v>
      </c>
    </row>
    <row r="835" spans="1:42" ht="14.65" thickBot="1">
      <c r="B835" s="192"/>
      <c r="E835" s="193" t="s">
        <v>89</v>
      </c>
      <c r="F835" s="195">
        <f xml:space="preserve"> E833*D833 + E834*D834</f>
        <v>8.7916720615195487</v>
      </c>
      <c r="I835" s="8" t="s">
        <v>107</v>
      </c>
      <c r="J835" t="s">
        <v>108</v>
      </c>
    </row>
    <row r="836" spans="1:42">
      <c r="B836" s="198" t="s">
        <v>109</v>
      </c>
      <c r="C836" s="199"/>
      <c r="D836" s="189" t="s">
        <v>79</v>
      </c>
      <c r="E836" s="189" t="s">
        <v>40</v>
      </c>
      <c r="F836" s="183"/>
      <c r="I836" s="8" t="s">
        <v>110</v>
      </c>
      <c r="J836" t="s">
        <v>111</v>
      </c>
    </row>
    <row r="837" spans="1:42" ht="14.65" thickBot="1">
      <c r="B837" s="194"/>
      <c r="C837" s="182" t="s">
        <v>112</v>
      </c>
      <c r="D837" s="7">
        <v>1</v>
      </c>
      <c r="E837" s="2">
        <f>+H798</f>
        <v>-20</v>
      </c>
      <c r="F837" s="181"/>
      <c r="I837" s="8" t="s">
        <v>113</v>
      </c>
      <c r="J837" t="s">
        <v>114</v>
      </c>
    </row>
    <row r="838" spans="1:42" ht="14.65" thickBot="1">
      <c r="B838" s="186"/>
      <c r="C838" s="187"/>
      <c r="D838" s="187"/>
      <c r="E838" s="188" t="s">
        <v>89</v>
      </c>
      <c r="F838" s="195">
        <f>+ E837*D837</f>
        <v>-20</v>
      </c>
      <c r="I838" s="8" t="s">
        <v>115</v>
      </c>
      <c r="J838" t="s">
        <v>106</v>
      </c>
    </row>
    <row r="839" spans="1:42" ht="14.65" thickBot="1">
      <c r="I839" s="8" t="s">
        <v>350</v>
      </c>
      <c r="J839" t="s">
        <v>108</v>
      </c>
    </row>
    <row r="840" spans="1:42">
      <c r="E840" s="423" t="s">
        <v>116</v>
      </c>
      <c r="F840" s="424">
        <f>(F826*0.4)+
(F831*0.3)+
(F835*0.2)+
(F838*0.1)</f>
        <v>25.05833441230391</v>
      </c>
    </row>
    <row r="841" spans="1:42">
      <c r="E841" s="425" t="s">
        <v>117</v>
      </c>
      <c r="F841" s="426">
        <f>MIN(1000,MAX(0,F840*10))</f>
        <v>250.5833441230391</v>
      </c>
    </row>
    <row r="842" spans="1:42" ht="14.65" thickBot="1"/>
    <row r="843" spans="1:42" ht="27" thickBot="1">
      <c r="A843" s="391" t="s">
        <v>394</v>
      </c>
      <c r="B843" s="386"/>
      <c r="C843" s="386"/>
      <c r="D843" s="387"/>
      <c r="E843" s="388"/>
      <c r="F843" s="388"/>
      <c r="G843" s="388"/>
      <c r="H843" s="389"/>
      <c r="I843" s="386"/>
      <c r="J843" s="386"/>
      <c r="K843" s="386"/>
      <c r="L843" s="386"/>
      <c r="M843" s="386"/>
      <c r="N843" s="386"/>
      <c r="O843" s="386"/>
      <c r="P843" s="386"/>
      <c r="Q843" s="386"/>
      <c r="R843" s="386"/>
      <c r="S843" s="386"/>
      <c r="T843" s="386"/>
      <c r="U843" s="386"/>
      <c r="V843" s="386"/>
      <c r="W843" s="386"/>
      <c r="X843" s="386"/>
      <c r="Y843" s="386"/>
      <c r="Z843" s="386"/>
      <c r="AA843" s="386"/>
      <c r="AB843" s="386"/>
      <c r="AC843" s="386"/>
      <c r="AD843" s="386"/>
      <c r="AE843" s="386"/>
      <c r="AF843" s="386"/>
      <c r="AG843" s="386"/>
      <c r="AH843" s="386"/>
      <c r="AI843" s="386"/>
      <c r="AJ843" s="386"/>
      <c r="AK843" s="386"/>
      <c r="AL843" s="386"/>
      <c r="AM843" s="386"/>
      <c r="AN843" s="386"/>
      <c r="AO843" s="386"/>
      <c r="AP843" s="390"/>
    </row>
    <row r="844" spans="1:42" ht="42.75" customHeight="1" thickBot="1">
      <c r="B844" s="405" t="s">
        <v>1</v>
      </c>
      <c r="C844" s="406" t="s">
        <v>2</v>
      </c>
      <c r="D844" s="406" t="s">
        <v>3</v>
      </c>
      <c r="E844" s="406" t="s">
        <v>4</v>
      </c>
      <c r="F844" s="406" t="s">
        <v>5</v>
      </c>
      <c r="G844" s="406" t="s">
        <v>6</v>
      </c>
      <c r="H844" s="406" t="s">
        <v>7</v>
      </c>
      <c r="I844" s="407" t="s">
        <v>8</v>
      </c>
      <c r="J844" s="407" t="s">
        <v>9</v>
      </c>
      <c r="K844" s="406" t="s">
        <v>10</v>
      </c>
      <c r="L844" s="406"/>
      <c r="M844" s="406"/>
      <c r="N844" s="406"/>
      <c r="O844" s="406"/>
      <c r="P844" s="406" t="s">
        <v>11</v>
      </c>
      <c r="Q844" s="406" t="s">
        <v>12</v>
      </c>
      <c r="R844" s="406" t="s">
        <v>13</v>
      </c>
      <c r="S844" s="406" t="s">
        <v>14</v>
      </c>
      <c r="T844" s="406" t="s">
        <v>15</v>
      </c>
      <c r="U844" s="406" t="s">
        <v>16</v>
      </c>
      <c r="V844" s="408" t="s">
        <v>17</v>
      </c>
      <c r="X844" s="394" t="s">
        <v>18</v>
      </c>
      <c r="Y844" s="395" t="s">
        <v>19</v>
      </c>
      <c r="Z844" s="394" t="s">
        <v>20</v>
      </c>
    </row>
    <row r="845" spans="1:42" ht="27.75" thickBot="1">
      <c r="B845" s="248">
        <v>1</v>
      </c>
      <c r="C845" s="396">
        <v>45931</v>
      </c>
      <c r="D845" s="428">
        <v>98403.839999999997</v>
      </c>
      <c r="E845" s="428">
        <v>37795.360000000001</v>
      </c>
      <c r="F845" s="428">
        <v>366792.34</v>
      </c>
      <c r="G845" s="428">
        <v>427400.82</v>
      </c>
      <c r="H845" s="428">
        <v>58284.6</v>
      </c>
      <c r="I845">
        <v>14</v>
      </c>
      <c r="J845">
        <v>121</v>
      </c>
      <c r="K845" s="400">
        <v>0</v>
      </c>
      <c r="L845" s="400"/>
      <c r="M845" s="400"/>
      <c r="N845" s="400"/>
      <c r="O845" s="400"/>
      <c r="P845" s="401">
        <f t="shared" ref="P845:P850" si="66">+F845/I845</f>
        <v>26199.45285714286</v>
      </c>
      <c r="Q845" s="401">
        <f t="shared" ref="Q845:Q850" si="67">+G845/J845</f>
        <v>3532.2381818181821</v>
      </c>
      <c r="R845" s="397">
        <f t="shared" ref="R845:R850" si="68">+F845-G845</f>
        <v>-60608.479999999981</v>
      </c>
      <c r="S845" s="402">
        <f t="shared" ref="S845:S850" si="69">+G845/F845</f>
        <v>1.1652392195540398</v>
      </c>
      <c r="T845" s="403">
        <f t="shared" ref="T845:T850" si="70">(+F845-G845)/F845</f>
        <v>-0.1652392195540397</v>
      </c>
      <c r="U845" s="400">
        <v>0</v>
      </c>
      <c r="V845" s="404">
        <v>26</v>
      </c>
      <c r="X845" s="12" t="s">
        <v>21</v>
      </c>
      <c r="Y845" s="13" t="s">
        <v>22</v>
      </c>
      <c r="Z845" s="12" t="s">
        <v>23</v>
      </c>
    </row>
    <row r="846" spans="1:42" ht="28.15" thickBot="1">
      <c r="B846" s="249">
        <v>2</v>
      </c>
      <c r="C846" s="301">
        <v>45962</v>
      </c>
      <c r="D846">
        <f>+E845</f>
        <v>37795.360000000001</v>
      </c>
      <c r="E846" s="428">
        <v>139403.63</v>
      </c>
      <c r="F846" s="428">
        <v>1081936.1200000001</v>
      </c>
      <c r="G846" s="428">
        <v>980327.85</v>
      </c>
      <c r="H846" s="428">
        <v>82563.33</v>
      </c>
      <c r="I846">
        <v>18</v>
      </c>
      <c r="J846">
        <v>134</v>
      </c>
      <c r="K846" s="305">
        <v>0</v>
      </c>
      <c r="L846" s="305"/>
      <c r="M846" s="305"/>
      <c r="N846" s="305"/>
      <c r="O846" s="305"/>
      <c r="P846" s="306">
        <f t="shared" si="66"/>
        <v>60107.56222222223</v>
      </c>
      <c r="Q846" s="306">
        <f t="shared" si="67"/>
        <v>7315.8794776119403</v>
      </c>
      <c r="R846" s="302">
        <f t="shared" si="68"/>
        <v>101608.27000000014</v>
      </c>
      <c r="S846" s="307">
        <f t="shared" si="69"/>
        <v>0.90608662736946044</v>
      </c>
      <c r="T846" s="308">
        <f t="shared" si="70"/>
        <v>9.3913372630539518E-2</v>
      </c>
      <c r="U846" s="305">
        <v>0</v>
      </c>
      <c r="V846" s="310">
        <v>401.19</v>
      </c>
      <c r="X846" s="12" t="s">
        <v>24</v>
      </c>
      <c r="Y846" s="13" t="s">
        <v>25</v>
      </c>
      <c r="Z846" s="12" t="s">
        <v>26</v>
      </c>
    </row>
    <row r="847" spans="1:42" ht="27.75" thickBot="1">
      <c r="B847" s="249">
        <v>3</v>
      </c>
      <c r="C847" s="301">
        <v>45992</v>
      </c>
      <c r="D847">
        <f t="shared" ref="D847:D850" si="71">+E846</f>
        <v>139403.63</v>
      </c>
      <c r="E847" s="428">
        <v>136823.93</v>
      </c>
      <c r="F847" s="428">
        <v>709882.98</v>
      </c>
      <c r="G847" s="428">
        <v>712462.68</v>
      </c>
      <c r="H847" s="428">
        <v>119004.35</v>
      </c>
      <c r="I847">
        <v>16</v>
      </c>
      <c r="J847">
        <v>128</v>
      </c>
      <c r="K847" s="305">
        <v>0</v>
      </c>
      <c r="L847" s="305"/>
      <c r="M847" s="305"/>
      <c r="N847" s="305"/>
      <c r="O847" s="305"/>
      <c r="P847" s="306">
        <f t="shared" si="66"/>
        <v>44367.686249999999</v>
      </c>
      <c r="Q847" s="306">
        <f t="shared" si="67"/>
        <v>5566.1146875000004</v>
      </c>
      <c r="R847" s="302">
        <f t="shared" si="68"/>
        <v>-2579.7000000000698</v>
      </c>
      <c r="S847" s="307">
        <f t="shared" si="69"/>
        <v>1.0036339792228854</v>
      </c>
      <c r="T847" s="308">
        <f t="shared" si="70"/>
        <v>-3.633979222885538E-3</v>
      </c>
      <c r="U847" s="305">
        <v>0</v>
      </c>
      <c r="V847" s="309"/>
      <c r="X847" s="12" t="s">
        <v>27</v>
      </c>
      <c r="Y847" s="13" t="s">
        <v>28</v>
      </c>
      <c r="Z847" s="14" t="s">
        <v>29</v>
      </c>
    </row>
    <row r="848" spans="1:42" ht="27.75" thickBot="1">
      <c r="B848" s="249">
        <v>4</v>
      </c>
      <c r="C848" s="301">
        <v>46023</v>
      </c>
      <c r="D848" s="29">
        <v>136823.93</v>
      </c>
      <c r="E848" s="29">
        <v>35899.43</v>
      </c>
      <c r="F848" s="29">
        <v>525172.89</v>
      </c>
      <c r="G848" s="29">
        <v>626097.39</v>
      </c>
      <c r="H848" s="29">
        <v>99675.89</v>
      </c>
      <c r="I848">
        <v>30</v>
      </c>
      <c r="J848">
        <v>139</v>
      </c>
      <c r="K848" s="305">
        <v>0</v>
      </c>
      <c r="L848" s="305"/>
      <c r="M848" s="305"/>
      <c r="N848" s="305"/>
      <c r="O848" s="305"/>
      <c r="P848" s="306">
        <f t="shared" si="66"/>
        <v>17505.762999999999</v>
      </c>
      <c r="Q848" s="306">
        <f t="shared" si="67"/>
        <v>4504.2977697841725</v>
      </c>
      <c r="R848" s="302">
        <f t="shared" si="68"/>
        <v>-100924.5</v>
      </c>
      <c r="S848" s="307">
        <f t="shared" si="69"/>
        <v>1.1921738572606062</v>
      </c>
      <c r="T848" s="308">
        <f t="shared" si="70"/>
        <v>-0.19217385726060612</v>
      </c>
      <c r="U848" s="305">
        <v>0</v>
      </c>
      <c r="V848" s="310">
        <v>390</v>
      </c>
      <c r="X848" s="12" t="s">
        <v>30</v>
      </c>
      <c r="Y848" s="13" t="s">
        <v>31</v>
      </c>
      <c r="Z848" s="12" t="s">
        <v>32</v>
      </c>
    </row>
    <row r="849" spans="2:26" ht="14.65" thickBot="1">
      <c r="B849" s="249">
        <v>5</v>
      </c>
      <c r="C849" s="301">
        <v>46054</v>
      </c>
      <c r="D849">
        <f t="shared" si="71"/>
        <v>35899.43</v>
      </c>
      <c r="E849" s="428">
        <v>88470.83</v>
      </c>
      <c r="F849" s="428">
        <v>714115.05</v>
      </c>
      <c r="G849" s="428">
        <v>661543.65</v>
      </c>
      <c r="H849" s="428">
        <v>88457.03</v>
      </c>
      <c r="I849">
        <v>15</v>
      </c>
      <c r="J849">
        <v>124</v>
      </c>
      <c r="K849" s="305"/>
      <c r="L849" s="305"/>
      <c r="M849" s="305"/>
      <c r="N849" s="305"/>
      <c r="O849" s="305"/>
      <c r="P849" s="306">
        <f t="shared" si="66"/>
        <v>47607.670000000006</v>
      </c>
      <c r="Q849" s="306">
        <f t="shared" si="67"/>
        <v>5335.0294354838716</v>
      </c>
      <c r="R849" s="302">
        <f t="shared" si="68"/>
        <v>52571.400000000023</v>
      </c>
      <c r="S849" s="307">
        <f t="shared" si="69"/>
        <v>0.926382450558912</v>
      </c>
      <c r="T849" s="308">
        <f t="shared" si="70"/>
        <v>7.361754944108799E-2</v>
      </c>
      <c r="U849" s="305"/>
      <c r="V849" s="303">
        <v>1067.03</v>
      </c>
      <c r="X849" s="12"/>
      <c r="Y849" s="13"/>
      <c r="Z849" s="12"/>
    </row>
    <row r="850" spans="2:26" ht="27.75" thickBot="1">
      <c r="B850" s="250">
        <v>6</v>
      </c>
      <c r="C850" s="301">
        <v>46082</v>
      </c>
      <c r="D850">
        <f t="shared" si="71"/>
        <v>88470.83</v>
      </c>
      <c r="E850" s="428">
        <v>304545.28000000003</v>
      </c>
      <c r="F850" s="428">
        <v>1216333</v>
      </c>
      <c r="G850" s="428">
        <v>1000258.55</v>
      </c>
      <c r="H850" s="428">
        <v>149659.60999999999</v>
      </c>
      <c r="I850">
        <v>22</v>
      </c>
      <c r="J850">
        <v>146</v>
      </c>
      <c r="K850" s="305">
        <v>0</v>
      </c>
      <c r="L850" s="305"/>
      <c r="M850" s="305"/>
      <c r="N850" s="305"/>
      <c r="O850" s="305"/>
      <c r="P850" s="306">
        <f t="shared" si="66"/>
        <v>55287.86363636364</v>
      </c>
      <c r="Q850" s="306">
        <f t="shared" si="67"/>
        <v>6851.0859589041102</v>
      </c>
      <c r="R850" s="302">
        <f t="shared" si="68"/>
        <v>216074.44999999995</v>
      </c>
      <c r="S850" s="307">
        <f t="shared" si="69"/>
        <v>0.82235584334224265</v>
      </c>
      <c r="T850" s="308">
        <f t="shared" si="70"/>
        <v>0.17764415665775735</v>
      </c>
      <c r="U850" s="305">
        <v>0</v>
      </c>
      <c r="V850" s="309">
        <v>390</v>
      </c>
      <c r="X850" s="12" t="s">
        <v>33</v>
      </c>
      <c r="Y850" s="13" t="s">
        <v>34</v>
      </c>
      <c r="Z850" s="12" t="s">
        <v>35</v>
      </c>
    </row>
    <row r="851" spans="2:26">
      <c r="C851" s="270" t="s">
        <v>36</v>
      </c>
      <c r="D851" s="262"/>
      <c r="E851" s="262"/>
      <c r="F851" s="271">
        <f>SUM(F845:F850)</f>
        <v>4614232.3800000008</v>
      </c>
      <c r="G851" s="271">
        <f>SUM(G845:G850)</f>
        <v>4408090.9400000004</v>
      </c>
      <c r="I851" s="2"/>
      <c r="J851" s="2"/>
      <c r="Q851" s="264"/>
      <c r="R851" s="262"/>
      <c r="S851" s="266"/>
      <c r="T851" s="267"/>
    </row>
    <row r="852" spans="2:26" ht="14.65" thickBot="1">
      <c r="D852" s="262"/>
      <c r="E852" s="262"/>
      <c r="I852" s="2"/>
      <c r="J852" s="2"/>
      <c r="P852" s="263"/>
      <c r="Q852" s="264"/>
      <c r="R852" s="262"/>
      <c r="S852" s="266"/>
      <c r="T852" s="267"/>
      <c r="X852" s="268"/>
      <c r="Y852" s="269"/>
      <c r="Z852" s="268"/>
    </row>
    <row r="853" spans="2:26" ht="14.65" thickBot="1">
      <c r="C853" s="16" t="s">
        <v>37</v>
      </c>
      <c r="D853" s="272"/>
      <c r="E853" s="272">
        <f>+G859</f>
        <v>123823.07666666666</v>
      </c>
      <c r="F853" s="272">
        <f>+G858</f>
        <v>769038.7300000001</v>
      </c>
      <c r="G853" s="273">
        <f>+AVERAGE(G845:G850)</f>
        <v>734681.82333333336</v>
      </c>
      <c r="I853" s="276">
        <f>+AVERAGE(I845:I850)</f>
        <v>19.166666666666668</v>
      </c>
      <c r="J853" s="277">
        <f>+AVERAGE(J845:J850)</f>
        <v>132</v>
      </c>
      <c r="P853" s="311">
        <f>+AVERAGE(P845:P850)</f>
        <v>41845.999660954789</v>
      </c>
      <c r="Q853" s="272">
        <f>+AVERAGE(Q845:Q850)</f>
        <v>5517.4409185170471</v>
      </c>
      <c r="R853" s="273">
        <f>+AVERAGE(R845:R850)</f>
        <v>34356.906666666677</v>
      </c>
      <c r="S853" s="9"/>
      <c r="T853" s="9"/>
      <c r="X853" s="268"/>
      <c r="Y853" s="269"/>
      <c r="Z853" s="268"/>
    </row>
    <row r="854" spans="2:26" ht="14.65" thickBot="1">
      <c r="C854" s="6" t="s">
        <v>38</v>
      </c>
      <c r="D854" s="274"/>
      <c r="E854" s="274">
        <f>(E845*0.05)+(E846*0.1)+(E847*0.1)+(E848*0.15)+(E849*0.25)+(E850*0.35)</f>
        <v>163605.99400000001</v>
      </c>
      <c r="F854" s="274">
        <f>(F845*0.05)+(F846*0.1)+(F847*0.1)+(F848*0.15)+(F849*0.25)+(F850*0.35)</f>
        <v>880542.77300000004</v>
      </c>
      <c r="G854" s="275">
        <f>(G845*0.05)+(G846*0.1)+(G847*0.1)+(G848*0.15)+(G849*0.25)+(G850*0.35)</f>
        <v>800040.10749999993</v>
      </c>
      <c r="I854" s="9"/>
      <c r="P854" s="312">
        <f>(P845*0.05)+(P846*0.1)+(P847*0.1)+(P848*0.15)+(P849*0.25)+(P850*0.35)</f>
        <v>45636.031712806638</v>
      </c>
      <c r="Q854" s="274">
        <f>(Q845*0.05)+(Q846*0.1)+(Q847*0.1)+(Q848*0.15)+(Q849*0.25)+(Q850*0.35)</f>
        <v>5872.0934355571353</v>
      </c>
      <c r="R854" s="275">
        <f>(R845*0.05)+(R846*0.1)+(R847*0.1)+(R848*0.15)+(R849*0.25)+(R850*0.35)</f>
        <v>80502.665500000003</v>
      </c>
      <c r="S854" s="9"/>
      <c r="T854" s="9"/>
    </row>
    <row r="855" spans="2:26" ht="14.65" thickBot="1"/>
    <row r="856" spans="2:26" ht="14.65" thickBot="1">
      <c r="D856" s="283" t="s">
        <v>39</v>
      </c>
      <c r="E856" s="284"/>
      <c r="F856" s="284"/>
      <c r="G856" s="285">
        <v>42034.81</v>
      </c>
    </row>
    <row r="857" spans="2:26" ht="14.65" thickBot="1">
      <c r="G857" s="278"/>
      <c r="H857" s="18" t="s">
        <v>40</v>
      </c>
    </row>
    <row r="858" spans="2:26">
      <c r="D858" s="16" t="s">
        <v>0</v>
      </c>
      <c r="E858" s="286"/>
      <c r="F858" s="286"/>
      <c r="G858" s="409">
        <f>+AVERAGE(F845:F850)</f>
        <v>769038.7300000001</v>
      </c>
      <c r="H858" s="288"/>
      <c r="I858" s="17" t="s">
        <v>41</v>
      </c>
    </row>
    <row r="859" spans="2:26">
      <c r="D859" s="3" t="s">
        <v>18</v>
      </c>
      <c r="G859" s="279">
        <f>+AVERAGE(E845:E850)</f>
        <v>123823.07666666666</v>
      </c>
      <c r="H859" s="289"/>
      <c r="I859" t="s">
        <v>42</v>
      </c>
    </row>
    <row r="860" spans="2:26">
      <c r="D860" s="3" t="s">
        <v>43</v>
      </c>
      <c r="G860" s="279">
        <f>(E850*0.5)+(E849*0.3)+(E848*0.2)</f>
        <v>185993.77500000002</v>
      </c>
      <c r="H860" s="289"/>
    </row>
    <row r="861" spans="2:26">
      <c r="D861" s="3" t="s">
        <v>44</v>
      </c>
      <c r="G861" s="279">
        <f>AVERAGE(E845:E847)</f>
        <v>104674.30666666666</v>
      </c>
      <c r="H861" s="289"/>
    </row>
    <row r="862" spans="2:26">
      <c r="D862" s="3" t="s">
        <v>351</v>
      </c>
      <c r="G862" s="370">
        <f>(AVERAGE(H848:H850) - AVERAGE(H845:H847)) / MAX(ABS(AVERAGE(H845:H847)), 1000)</f>
        <v>0.2999406047158793</v>
      </c>
      <c r="H862" s="4">
        <f>IF(G862&gt;=1.2,100,IF(G862&gt;=1,80,IF(G862&gt;=0.8,50,IF(G862&gt;=0.5,30,IF(G862&gt;=0.2,0,-20)))))</f>
        <v>0</v>
      </c>
      <c r="I862" s="23" t="str">
        <f>IF(G862&gt;=1.2,"Liquidez Saldo mejora fuerte",IF(G862&gt;=1,"Liquidez Saldo estable",IF(G862&gt;=0.8,"Liquidez Saldo deteriora leve","Liquidez Saldo deteriora fuerte")))</f>
        <v>Liquidez Saldo deteriora fuerte</v>
      </c>
      <c r="P862" s="501" t="s">
        <v>354</v>
      </c>
      <c r="Q862" s="502"/>
      <c r="R862" s="502"/>
      <c r="S862" s="502"/>
      <c r="T862" s="502"/>
      <c r="U862" s="502"/>
      <c r="V862" s="502"/>
      <c r="W862" s="502"/>
    </row>
    <row r="863" spans="2:26">
      <c r="D863" s="369" t="s">
        <v>352</v>
      </c>
      <c r="E863" s="23"/>
      <c r="F863" s="23"/>
      <c r="G863" s="370">
        <f>(AVERAGE(R848:R850) - AVERAGE(R845:R847)) / MAX(ABS(AVERAGE(R845:R847)), 1000)</f>
        <v>3.3654595811722365</v>
      </c>
      <c r="H863" s="202">
        <f>IF(G863&gt;=1.2,100,IF(G863&gt;=1,80,IF(G863&gt;=0.8,50,IF(G863&gt;=0.5,30,IF(G863&gt;=0.2,0,-20)))))</f>
        <v>100</v>
      </c>
      <c r="I863" s="23" t="str">
        <f>IF(G863&gt;=1.2,"Liquidez Flujo mejora fuerte",IF(G863&gt;=1,"Liquidez Flujo estable",IF(G863&gt;=0.8,"Liquidez Flujo deteriora leve","Liquidez Flujo deteriora fuerte")))</f>
        <v>Liquidez Flujo mejora fuerte</v>
      </c>
      <c r="P863" s="502"/>
      <c r="Q863" s="502"/>
      <c r="R863" s="502"/>
      <c r="S863" s="502"/>
      <c r="T863" s="502"/>
      <c r="U863" s="502"/>
      <c r="V863" s="502"/>
      <c r="W863" s="502"/>
    </row>
    <row r="864" spans="2:26">
      <c r="D864" s="3" t="s">
        <v>45</v>
      </c>
      <c r="G864" s="265">
        <f>(SUM(F845:F850)*G884)/6</f>
        <v>70308.529620667177</v>
      </c>
      <c r="H864" s="290"/>
      <c r="I864" t="s">
        <v>46</v>
      </c>
    </row>
    <row r="865" spans="2:19">
      <c r="D865" s="3" t="s">
        <v>47</v>
      </c>
      <c r="G865" s="265">
        <f>(R845*0.05)+(R846*0.1)+(R847*0.1)+(R848*0.15)+(R849*0.25)+(R850*0.35)</f>
        <v>80502.665500000003</v>
      </c>
      <c r="H865" s="290"/>
      <c r="I865" t="s">
        <v>48</v>
      </c>
    </row>
    <row r="866" spans="2:19">
      <c r="D866" s="3" t="s">
        <v>49</v>
      </c>
      <c r="F866" s="280" t="str">
        <f>+IF(G866&lt;0.75,"Muy Sano",IF(G866&lt;0.85,"Sano",IF(G866&lt;0.95,"Presionado",IF(G866&gt;0.95,"Riesgoso"))))</f>
        <v>Presionado</v>
      </c>
      <c r="G866" s="281">
        <f>(S845*0.05)+(S846*0.1)+(S847*0.1)+(S848*0.15)+(S849*0.25)+(S850*0.35)</f>
        <v>0.94748025803554037</v>
      </c>
      <c r="H866" s="202">
        <f>+IF(G866&lt;0.75,100,IF(G866&lt;0.8,80,IF(G866&lt;0.85,50,IF(G866&lt;0.9,30,IF(G866&lt;0.95,15,IF(G866&lt;1,0,-20))))))</f>
        <v>15</v>
      </c>
      <c r="I866" t="s">
        <v>50</v>
      </c>
      <c r="S866" t="s">
        <v>355</v>
      </c>
    </row>
    <row r="867" spans="2:19">
      <c r="D867" s="3" t="s">
        <v>21</v>
      </c>
      <c r="G867" s="282">
        <f>+SUM(K845:K850)</f>
        <v>0</v>
      </c>
      <c r="H867" s="289"/>
      <c r="I867" t="s">
        <v>51</v>
      </c>
    </row>
    <row r="868" spans="2:19">
      <c r="D868" s="3" t="s">
        <v>52</v>
      </c>
      <c r="G868" s="15">
        <f>AVERAGE(E845:E850)/AVERAGE(F845:F850)</f>
        <v>0.16101019602311401</v>
      </c>
      <c r="H868" s="202">
        <f>+IF(G868&gt;15%,100,IF(G868&gt;10%,80,IF(G868&gt;5%,60,IF(G868&gt;3%,50,IF(G868&gt;1.5%,20,IF(G868&lt;1.5%,10,IF(G868=0,0,-10)))))))</f>
        <v>100</v>
      </c>
      <c r="I868" t="s">
        <v>53</v>
      </c>
    </row>
    <row r="869" spans="2:19" ht="14.65" thickBot="1">
      <c r="D869" s="6" t="s">
        <v>54</v>
      </c>
      <c r="E869" s="291"/>
      <c r="F869" s="291"/>
      <c r="G869" s="292">
        <f>1 - (STDEV(F845:F850)/AVERAGE(F845:F850))</f>
        <v>0.57833952432500868</v>
      </c>
      <c r="H869" s="293">
        <f>MAX(0,MIN(100,G869*100))</f>
        <v>57.833952432500865</v>
      </c>
      <c r="I869" t="s">
        <v>55</v>
      </c>
    </row>
    <row r="870" spans="2:19" ht="14.65" thickBot="1">
      <c r="H870" s="18" t="s">
        <v>40</v>
      </c>
    </row>
    <row r="871" spans="2:19">
      <c r="B871" s="503"/>
      <c r="C871" s="504"/>
      <c r="D871" s="324"/>
      <c r="E871" s="324"/>
      <c r="F871" s="286"/>
      <c r="G871" s="325"/>
      <c r="H871" s="325"/>
    </row>
    <row r="872" spans="2:19">
      <c r="B872" s="489"/>
      <c r="C872" s="490"/>
      <c r="F872" s="8"/>
      <c r="G872" s="294"/>
      <c r="H872" s="294"/>
    </row>
    <row r="873" spans="2:19">
      <c r="B873" s="493" t="s">
        <v>56</v>
      </c>
      <c r="C873" s="494"/>
      <c r="D873" t="s">
        <v>57</v>
      </c>
      <c r="F873" s="8"/>
      <c r="G873" s="294">
        <f>(SUM(E845:E850)-MAX(E845:E850)-MIN(E845:E850))/(COUNT(E845:E850)-2)</f>
        <v>100623.43749999999</v>
      </c>
      <c r="H873" s="295"/>
      <c r="I873" t="s">
        <v>58</v>
      </c>
    </row>
    <row r="874" spans="2:19">
      <c r="B874" s="493" t="s">
        <v>56</v>
      </c>
      <c r="C874" s="494"/>
      <c r="D874" t="s">
        <v>59</v>
      </c>
      <c r="F874" s="8"/>
      <c r="G874" s="294">
        <f>+G873/G856</f>
        <v>2.3938121166718727</v>
      </c>
      <c r="H874" s="295">
        <f>IF(G874&lt;0.5,0,IF(G874&lt;1,20,IF(G874&lt;2,50,IF(G874&lt;3,70,IF(G874&lt;5,90,100)))))</f>
        <v>70</v>
      </c>
      <c r="I874" t="s">
        <v>60</v>
      </c>
    </row>
    <row r="875" spans="2:19">
      <c r="B875" s="487" t="s">
        <v>61</v>
      </c>
      <c r="C875" s="488"/>
      <c r="D875" t="s">
        <v>30</v>
      </c>
      <c r="G875" s="294">
        <f>_xlfn.STDEV.S(F845:F850)/AVERAGE(F845:F850)</f>
        <v>0.42166047567499138</v>
      </c>
      <c r="H875" s="294">
        <f>MAX(0,100-(G875*40))</f>
        <v>83.133580973000349</v>
      </c>
      <c r="I875" s="17" t="s">
        <v>62</v>
      </c>
    </row>
    <row r="876" spans="2:19">
      <c r="B876" s="505" t="s">
        <v>63</v>
      </c>
      <c r="C876" s="506"/>
      <c r="D876" t="s">
        <v>64</v>
      </c>
      <c r="G876" s="316">
        <f>((E850+E849+E848)/3)/((E845+E846+E847)/3)</f>
        <v>1.3658733572695907</v>
      </c>
      <c r="H876" s="374" t="str">
        <f>IF(G876&gt;=1.2,"liquidez mejora fuerte",IF(G876&gt;=1,"liquidez estable",IF(G876&gt;=0.8,"liquidez deteriora leve","liquidez deteriora fuerte")))</f>
        <v>liquidez mejora fuerte</v>
      </c>
      <c r="I876" t="s">
        <v>65</v>
      </c>
    </row>
    <row r="877" spans="2:19">
      <c r="B877" s="489"/>
      <c r="C877" s="490"/>
      <c r="G877" s="294"/>
      <c r="H877" s="294"/>
    </row>
    <row r="878" spans="2:19">
      <c r="B878" s="487" t="s">
        <v>61</v>
      </c>
      <c r="C878" s="488"/>
      <c r="D878" t="s">
        <v>66</v>
      </c>
      <c r="G878" s="294">
        <f>MIN(3,STDEV(R845:R850)/MAX(ABS(AVERAGE(R845:R850)),1000))</f>
        <v>3</v>
      </c>
      <c r="H878" s="294">
        <f>MAX(0,100-(G878*30))</f>
        <v>10</v>
      </c>
      <c r="I878" t="s">
        <v>67</v>
      </c>
      <c r="R878" t="s">
        <v>68</v>
      </c>
    </row>
    <row r="879" spans="2:19">
      <c r="B879" s="489"/>
      <c r="C879" s="490"/>
      <c r="G879" s="294"/>
      <c r="H879" s="294"/>
    </row>
    <row r="880" spans="2:19">
      <c r="B880" s="491" t="s">
        <v>69</v>
      </c>
      <c r="C880" s="492"/>
      <c r="D880" t="s">
        <v>70</v>
      </c>
      <c r="F880" s="7"/>
      <c r="G880" s="294">
        <f>G864-(STDEV(R845:R850)*0.25)</f>
        <v>41464.211341499627</v>
      </c>
      <c r="H880" s="294"/>
      <c r="I880" t="s">
        <v>71</v>
      </c>
    </row>
    <row r="881" spans="2:21">
      <c r="B881" s="491" t="s">
        <v>69</v>
      </c>
      <c r="C881" s="492"/>
      <c r="D881" t="s">
        <v>72</v>
      </c>
      <c r="F881" s="7"/>
      <c r="G881" s="294">
        <f>+G880/G856</f>
        <v>0.98642556827304873</v>
      </c>
      <c r="H881" s="296"/>
      <c r="I881" t="s">
        <v>73</v>
      </c>
      <c r="U881" t="s">
        <v>353</v>
      </c>
    </row>
    <row r="882" spans="2:21">
      <c r="B882" s="491" t="s">
        <v>69</v>
      </c>
      <c r="C882" s="492"/>
      <c r="D882" t="s">
        <v>74</v>
      </c>
      <c r="G882" s="297">
        <f>+G881/P887</f>
        <v>0.358700206644745</v>
      </c>
      <c r="H882" s="294">
        <f>IF((G881/P887)&gt;=1.5,100,IF((G881/P887)&gt;=1.2,80,IF((G881/P887)&gt;=1,60,IF((G881/P887)&gt;=0.8,40,0))))</f>
        <v>0</v>
      </c>
    </row>
    <row r="883" spans="2:21">
      <c r="B883" s="493" t="s">
        <v>56</v>
      </c>
      <c r="C883" s="494"/>
      <c r="D883" t="s">
        <v>75</v>
      </c>
      <c r="F883" s="7"/>
      <c r="G883" s="294">
        <f>SUM(F845:F850)/SUM(G845:G850)</f>
        <v>1.0467643346759086</v>
      </c>
      <c r="H883" s="371">
        <f>IF(G883&gt;=1.1,100,IF(G883&gt;=1.05,80,IF(G883&gt;=1,70,IF(G883&gt;=0.95,50,IF(G883&gt;=0.85,35,10)))))</f>
        <v>70</v>
      </c>
      <c r="I883" t="s">
        <v>76</v>
      </c>
      <c r="Q883" s="23" t="s">
        <v>359</v>
      </c>
    </row>
    <row r="884" spans="2:21" ht="14.65" thickBot="1">
      <c r="B884" s="495" t="s">
        <v>69</v>
      </c>
      <c r="C884" s="496"/>
      <c r="D884" s="291" t="s">
        <v>15</v>
      </c>
      <c r="E884" s="291"/>
      <c r="F884" s="298"/>
      <c r="G884" s="299">
        <f>+(F854-G854)/F854</f>
        <v>9.1423912578066341E-2</v>
      </c>
      <c r="H884" s="300">
        <f>IF(G884&gt;=0.2,100,
IF(G884&gt;=0.1,80,
IF(G884&gt;=0.05,60,
IF(G884&gt;=0,40,
IF(G884&gt;=-0.05,20,0)))))</f>
        <v>60</v>
      </c>
      <c r="I884" t="s">
        <v>77</v>
      </c>
    </row>
    <row r="885" spans="2:21" ht="14.65" thickBot="1"/>
    <row r="886" spans="2:21">
      <c r="B886" s="497" t="s">
        <v>78</v>
      </c>
      <c r="C886" s="498"/>
      <c r="D886" s="189" t="s">
        <v>79</v>
      </c>
      <c r="E886" s="189" t="s">
        <v>40</v>
      </c>
      <c r="F886" s="183"/>
      <c r="I886" s="253" t="s">
        <v>80</v>
      </c>
      <c r="J886" s="375">
        <v>3</v>
      </c>
      <c r="K886" s="256" t="s">
        <v>81</v>
      </c>
      <c r="L886" s="256"/>
      <c r="M886" s="256"/>
      <c r="N886" s="256"/>
      <c r="O886" s="256"/>
      <c r="P886" s="254" t="s">
        <v>82</v>
      </c>
      <c r="Q886" s="254" t="s">
        <v>83</v>
      </c>
    </row>
    <row r="887" spans="2:21">
      <c r="B887" s="184"/>
      <c r="C887" s="182" t="s">
        <v>84</v>
      </c>
      <c r="D887" s="185">
        <v>0.6</v>
      </c>
      <c r="E887" s="15">
        <f>+H882</f>
        <v>0</v>
      </c>
      <c r="F887" s="181"/>
      <c r="I887" s="24" t="s">
        <v>85</v>
      </c>
      <c r="J887" s="4">
        <v>2.75</v>
      </c>
      <c r="K887" s="256">
        <v>36</v>
      </c>
      <c r="L887" s="256"/>
      <c r="M887" s="256"/>
      <c r="N887" s="256"/>
      <c r="O887" s="256"/>
      <c r="P887" s="254">
        <f>+IF(K887&lt;=24,J886,IF(K887&lt;=36,J887,IF(K887&lt;=48,J888,IF(K887&lt;=60,J889,"2"))))</f>
        <v>2.75</v>
      </c>
      <c r="Q887" s="255">
        <f>+IF(K887&lt;24,30.2%,IF(K887&lt;36,26%,IF(K887&lt;48,24.55%,IF(K887&lt;60,23.82%,"0%"))))</f>
        <v>0.2455</v>
      </c>
    </row>
    <row r="888" spans="2:21">
      <c r="B888" s="184"/>
      <c r="C888" s="182" t="s">
        <v>86</v>
      </c>
      <c r="D888" s="185">
        <v>0.25</v>
      </c>
      <c r="E888" s="15">
        <f>+H866</f>
        <v>15</v>
      </c>
      <c r="F888" s="181"/>
      <c r="I888" s="24" t="s">
        <v>87</v>
      </c>
      <c r="J888" s="4">
        <v>2.5</v>
      </c>
    </row>
    <row r="889" spans="2:21" ht="14.65" thickBot="1">
      <c r="B889" s="184"/>
      <c r="C889" s="182" t="s">
        <v>15</v>
      </c>
      <c r="D889" s="185">
        <v>0.15</v>
      </c>
      <c r="E889" s="15">
        <f>+H884</f>
        <v>60</v>
      </c>
      <c r="F889" s="181"/>
      <c r="I889" s="50" t="s">
        <v>88</v>
      </c>
      <c r="J889" s="317">
        <v>2.25</v>
      </c>
    </row>
    <row r="890" spans="2:21" ht="14.65" thickBot="1">
      <c r="B890" s="186"/>
      <c r="C890" s="187"/>
      <c r="D890" s="187"/>
      <c r="E890" s="188" t="s">
        <v>89</v>
      </c>
      <c r="F890" s="195">
        <f>E887*D887 + E888*D888 + E889*D889</f>
        <v>12.75</v>
      </c>
    </row>
    <row r="891" spans="2:21" ht="14.65" thickBot="1">
      <c r="B891" s="499" t="s">
        <v>90</v>
      </c>
      <c r="C891" s="500"/>
      <c r="D891" s="189" t="s">
        <v>79</v>
      </c>
      <c r="E891" s="189" t="s">
        <v>40</v>
      </c>
      <c r="F891" s="183"/>
      <c r="H891" s="9"/>
      <c r="I891" s="313" t="s">
        <v>91</v>
      </c>
      <c r="J891" s="314"/>
      <c r="K891" s="315" t="s">
        <v>92</v>
      </c>
      <c r="L891" s="410"/>
      <c r="M891" s="410"/>
      <c r="N891" s="410"/>
      <c r="O891" s="410"/>
      <c r="P891" s="314"/>
    </row>
    <row r="892" spans="2:21">
      <c r="B892" s="184"/>
      <c r="C892" s="182" t="s">
        <v>93</v>
      </c>
      <c r="D892" s="190">
        <v>0.5</v>
      </c>
      <c r="E892" s="15">
        <f>+H874</f>
        <v>70</v>
      </c>
      <c r="F892" s="181"/>
      <c r="H892" s="182" t="s">
        <v>94</v>
      </c>
      <c r="I892" s="476">
        <f>+G859/P887</f>
        <v>45026.573333333334</v>
      </c>
      <c r="J892" s="477"/>
      <c r="K892" s="478">
        <f>ABS(PV(Q887/12,K887,I892))</f>
        <v>1139272.5520423434</v>
      </c>
      <c r="L892" s="479"/>
      <c r="M892" s="479"/>
      <c r="N892" s="479"/>
      <c r="O892" s="479"/>
      <c r="P892" s="480"/>
    </row>
    <row r="893" spans="2:21">
      <c r="B893" s="184"/>
      <c r="C893" s="182" t="s">
        <v>95</v>
      </c>
      <c r="D893" s="190">
        <v>0.3</v>
      </c>
      <c r="E893" s="15">
        <f>+H883</f>
        <v>70</v>
      </c>
      <c r="F893" s="181"/>
      <c r="H893" s="182" t="s">
        <v>96</v>
      </c>
      <c r="I893" s="476">
        <f>+G858/P887</f>
        <v>279650.44727272732</v>
      </c>
      <c r="J893" s="477"/>
      <c r="K893" s="478">
        <f>ABS(PV(Q887/12,K887,I893))</f>
        <v>7075778.9269369859</v>
      </c>
      <c r="L893" s="479"/>
      <c r="M893" s="479"/>
      <c r="N893" s="479"/>
      <c r="O893" s="479"/>
      <c r="P893" s="480"/>
    </row>
    <row r="894" spans="2:21" ht="14.65" thickBot="1">
      <c r="B894" s="184"/>
      <c r="C894" s="8" t="s">
        <v>97</v>
      </c>
      <c r="D894" s="185">
        <v>0.2</v>
      </c>
      <c r="E894" s="15">
        <f>+H868</f>
        <v>100</v>
      </c>
      <c r="F894" s="181"/>
      <c r="H894" s="257" t="s">
        <v>98</v>
      </c>
      <c r="I894" s="481">
        <f>+G860/P887</f>
        <v>67634.100000000006</v>
      </c>
      <c r="J894" s="482"/>
      <c r="K894" s="483">
        <f>ABS(PV(Q887/12,K887,I894))</f>
        <v>1711293.3098785013</v>
      </c>
      <c r="L894" s="484"/>
      <c r="M894" s="484"/>
      <c r="N894" s="484"/>
      <c r="O894" s="484"/>
      <c r="P894" s="485"/>
    </row>
    <row r="895" spans="2:21" ht="14.65" thickBot="1">
      <c r="B895" s="191"/>
      <c r="C895" s="182"/>
      <c r="D895" s="187"/>
      <c r="E895" s="188" t="s">
        <v>89</v>
      </c>
      <c r="F895" s="195">
        <f xml:space="preserve"> E892*D892 + E893*D893+E894*D894</f>
        <v>76</v>
      </c>
    </row>
    <row r="896" spans="2:21">
      <c r="B896" s="196" t="s">
        <v>99</v>
      </c>
      <c r="C896" s="197"/>
      <c r="D896" s="189" t="s">
        <v>79</v>
      </c>
      <c r="E896" s="189" t="s">
        <v>40</v>
      </c>
      <c r="F896" s="183"/>
      <c r="I896" s="486" t="s">
        <v>100</v>
      </c>
      <c r="J896" s="486"/>
      <c r="P896" s="8"/>
    </row>
    <row r="897" spans="2:10">
      <c r="B897" s="184"/>
      <c r="C897" s="182" t="s">
        <v>101</v>
      </c>
      <c r="D897" s="7">
        <v>0.6</v>
      </c>
      <c r="E897" s="15">
        <f>+H878</f>
        <v>10</v>
      </c>
      <c r="F897" s="181"/>
      <c r="I897" t="s">
        <v>102</v>
      </c>
      <c r="J897" t="s">
        <v>103</v>
      </c>
    </row>
    <row r="898" spans="2:10" ht="14.65" thickBot="1">
      <c r="B898" s="184"/>
      <c r="C898" s="182" t="s">
        <v>104</v>
      </c>
      <c r="D898" s="7">
        <v>0.4</v>
      </c>
      <c r="E898" s="201">
        <f>+H869</f>
        <v>57.833952432500865</v>
      </c>
      <c r="F898" s="181"/>
      <c r="I898" s="8" t="s">
        <v>105</v>
      </c>
      <c r="J898" t="s">
        <v>106</v>
      </c>
    </row>
    <row r="899" spans="2:10" ht="14.65" thickBot="1">
      <c r="B899" s="192"/>
      <c r="E899" s="193" t="s">
        <v>89</v>
      </c>
      <c r="F899" s="195">
        <f xml:space="preserve"> E897*D897 + E898*D898</f>
        <v>29.133580973000349</v>
      </c>
      <c r="I899" s="8" t="s">
        <v>107</v>
      </c>
      <c r="J899" t="s">
        <v>108</v>
      </c>
    </row>
    <row r="900" spans="2:10">
      <c r="B900" s="198" t="s">
        <v>109</v>
      </c>
      <c r="C900" s="199"/>
      <c r="D900" s="189" t="s">
        <v>79</v>
      </c>
      <c r="E900" s="189" t="s">
        <v>40</v>
      </c>
      <c r="F900" s="183"/>
      <c r="I900" s="8" t="s">
        <v>110</v>
      </c>
      <c r="J900" t="s">
        <v>111</v>
      </c>
    </row>
    <row r="901" spans="2:10" ht="14.65" thickBot="1">
      <c r="B901" s="194"/>
      <c r="C901" s="182" t="s">
        <v>112</v>
      </c>
      <c r="D901" s="7">
        <v>1</v>
      </c>
      <c r="E901" s="2">
        <f>+H862</f>
        <v>0</v>
      </c>
      <c r="F901" s="181"/>
      <c r="I901" s="8" t="s">
        <v>113</v>
      </c>
      <c r="J901" t="s">
        <v>114</v>
      </c>
    </row>
    <row r="902" spans="2:10" ht="14.65" thickBot="1">
      <c r="B902" s="186"/>
      <c r="C902" s="187"/>
      <c r="D902" s="187"/>
      <c r="E902" s="188" t="s">
        <v>89</v>
      </c>
      <c r="F902" s="195">
        <f>+ E901*D901</f>
        <v>0</v>
      </c>
      <c r="I902" s="8" t="s">
        <v>115</v>
      </c>
      <c r="J902" t="s">
        <v>106</v>
      </c>
    </row>
    <row r="903" spans="2:10" ht="14.65" thickBot="1">
      <c r="I903" s="8" t="s">
        <v>350</v>
      </c>
      <c r="J903" t="s">
        <v>108</v>
      </c>
    </row>
    <row r="904" spans="2:10" ht="14.65" thickBot="1">
      <c r="E904" s="180" t="s">
        <v>116</v>
      </c>
      <c r="F904" s="200">
        <f>(F890*0.4)+
(F895*0.3)+
(F899*0.2)+
(F902*0.1)</f>
        <v>33.726716194600073</v>
      </c>
    </row>
    <row r="905" spans="2:10">
      <c r="E905" t="s">
        <v>117</v>
      </c>
      <c r="F905" s="327">
        <f>MIN(1000,MAX(0,F904*10))</f>
        <v>337.26716194600073</v>
      </c>
    </row>
    <row r="906" spans="2:10">
      <c r="B906" s="19"/>
    </row>
    <row r="907" spans="2:10" ht="18.399999999999999" customHeight="1">
      <c r="B907" s="20"/>
    </row>
    <row r="909" spans="2:10">
      <c r="C909" s="21"/>
    </row>
    <row r="910" spans="2:10">
      <c r="C910" s="19"/>
      <c r="D910" s="8"/>
      <c r="E910" s="21"/>
    </row>
    <row r="911" spans="2:10">
      <c r="D911" s="8"/>
      <c r="E911" s="21"/>
    </row>
    <row r="912" spans="2:10">
      <c r="D912" s="8"/>
      <c r="E912" s="21"/>
    </row>
    <row r="914" spans="2:2" ht="17.649999999999999">
      <c r="B914" s="20"/>
    </row>
  </sheetData>
  <mergeCells count="346">
    <mergeCell ref="I114:J114"/>
    <mergeCell ref="K114:P114"/>
    <mergeCell ref="I115:J115"/>
    <mergeCell ref="K115:P115"/>
    <mergeCell ref="I116:J116"/>
    <mergeCell ref="K116:P116"/>
    <mergeCell ref="I118:J118"/>
    <mergeCell ref="B100:C100"/>
    <mergeCell ref="B101:C101"/>
    <mergeCell ref="B102:C102"/>
    <mergeCell ref="B103:C103"/>
    <mergeCell ref="B104:C104"/>
    <mergeCell ref="B105:C105"/>
    <mergeCell ref="B106:C106"/>
    <mergeCell ref="B108:C108"/>
    <mergeCell ref="B113:C113"/>
    <mergeCell ref="A65:E65"/>
    <mergeCell ref="I84:P85"/>
    <mergeCell ref="B93:C93"/>
    <mergeCell ref="B94:C94"/>
    <mergeCell ref="B95:C95"/>
    <mergeCell ref="B96:C96"/>
    <mergeCell ref="B97:C97"/>
    <mergeCell ref="B98:C98"/>
    <mergeCell ref="B99:C99"/>
    <mergeCell ref="I242:J242"/>
    <mergeCell ref="K242:P242"/>
    <mergeCell ref="I243:J243"/>
    <mergeCell ref="K243:P243"/>
    <mergeCell ref="I244:J244"/>
    <mergeCell ref="K244:P244"/>
    <mergeCell ref="I246:J246"/>
    <mergeCell ref="B228:C228"/>
    <mergeCell ref="B229:C229"/>
    <mergeCell ref="B230:C230"/>
    <mergeCell ref="B231:C231"/>
    <mergeCell ref="B232:C232"/>
    <mergeCell ref="B233:C233"/>
    <mergeCell ref="B234:C234"/>
    <mergeCell ref="B236:C236"/>
    <mergeCell ref="B241:C241"/>
    <mergeCell ref="A193:E193"/>
    <mergeCell ref="I212:P213"/>
    <mergeCell ref="B221:C221"/>
    <mergeCell ref="B222:C222"/>
    <mergeCell ref="B223:C223"/>
    <mergeCell ref="B224:C224"/>
    <mergeCell ref="B225:C225"/>
    <mergeCell ref="B226:C226"/>
    <mergeCell ref="B227:C227"/>
    <mergeCell ref="I276:P277"/>
    <mergeCell ref="B285:C285"/>
    <mergeCell ref="B286:C286"/>
    <mergeCell ref="B287:C287"/>
    <mergeCell ref="B288:C288"/>
    <mergeCell ref="I308:J308"/>
    <mergeCell ref="K308:P308"/>
    <mergeCell ref="I310:J310"/>
    <mergeCell ref="A257:E257"/>
    <mergeCell ref="B300:C300"/>
    <mergeCell ref="B305:C305"/>
    <mergeCell ref="I306:J306"/>
    <mergeCell ref="K306:P306"/>
    <mergeCell ref="I307:J307"/>
    <mergeCell ref="K307:P307"/>
    <mergeCell ref="B294:C294"/>
    <mergeCell ref="B295:C295"/>
    <mergeCell ref="B296:C296"/>
    <mergeCell ref="B297:C297"/>
    <mergeCell ref="B298:C298"/>
    <mergeCell ref="B289:C289"/>
    <mergeCell ref="I500:J500"/>
    <mergeCell ref="K500:P500"/>
    <mergeCell ref="I501:J501"/>
    <mergeCell ref="K501:P501"/>
    <mergeCell ref="I503:J503"/>
    <mergeCell ref="B290:C290"/>
    <mergeCell ref="B291:C291"/>
    <mergeCell ref="B292:C292"/>
    <mergeCell ref="B293:C293"/>
    <mergeCell ref="K499:P499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3:C493"/>
    <mergeCell ref="B498:C498"/>
    <mergeCell ref="I499:J499"/>
    <mergeCell ref="I340:P341"/>
    <mergeCell ref="B349:C349"/>
    <mergeCell ref="B350:C350"/>
    <mergeCell ref="B351:C351"/>
    <mergeCell ref="B352:C352"/>
    <mergeCell ref="P469:W470"/>
    <mergeCell ref="B483:C483"/>
    <mergeCell ref="B478:C478"/>
    <mergeCell ref="B479:C479"/>
    <mergeCell ref="B480:C480"/>
    <mergeCell ref="B481:C481"/>
    <mergeCell ref="B482:C482"/>
    <mergeCell ref="B358:C358"/>
    <mergeCell ref="B359:C359"/>
    <mergeCell ref="B360:C360"/>
    <mergeCell ref="B361:C361"/>
    <mergeCell ref="B362:C362"/>
    <mergeCell ref="B353:C353"/>
    <mergeCell ref="B354:C354"/>
    <mergeCell ref="B355:C355"/>
    <mergeCell ref="B356:C356"/>
    <mergeCell ref="B357:C357"/>
    <mergeCell ref="B417:C417"/>
    <mergeCell ref="B418:C418"/>
    <mergeCell ref="B419:C419"/>
    <mergeCell ref="I372:J372"/>
    <mergeCell ref="K372:P372"/>
    <mergeCell ref="I374:J374"/>
    <mergeCell ref="B413:C413"/>
    <mergeCell ref="B414:C414"/>
    <mergeCell ref="B364:C364"/>
    <mergeCell ref="B369:C369"/>
    <mergeCell ref="I370:J370"/>
    <mergeCell ref="K370:P370"/>
    <mergeCell ref="I371:J371"/>
    <mergeCell ref="K371:P371"/>
    <mergeCell ref="P862:W863"/>
    <mergeCell ref="B871:C871"/>
    <mergeCell ref="B872:C872"/>
    <mergeCell ref="B873:C873"/>
    <mergeCell ref="B874:C874"/>
    <mergeCell ref="I438:J438"/>
    <mergeCell ref="P404:W405"/>
    <mergeCell ref="K434:P434"/>
    <mergeCell ref="I435:J435"/>
    <mergeCell ref="K435:P435"/>
    <mergeCell ref="I436:J436"/>
    <mergeCell ref="K436:P436"/>
    <mergeCell ref="B425:C425"/>
    <mergeCell ref="B426:C426"/>
    <mergeCell ref="B428:C428"/>
    <mergeCell ref="B433:C433"/>
    <mergeCell ref="I434:J434"/>
    <mergeCell ref="B420:C420"/>
    <mergeCell ref="B421:C421"/>
    <mergeCell ref="B422:C422"/>
    <mergeCell ref="B423:C423"/>
    <mergeCell ref="B424:C424"/>
    <mergeCell ref="B415:C415"/>
    <mergeCell ref="B416:C416"/>
    <mergeCell ref="K893:P893"/>
    <mergeCell ref="B880:C880"/>
    <mergeCell ref="B881:C881"/>
    <mergeCell ref="B882:C882"/>
    <mergeCell ref="B883:C883"/>
    <mergeCell ref="B884:C884"/>
    <mergeCell ref="B875:C875"/>
    <mergeCell ref="B876:C876"/>
    <mergeCell ref="B877:C877"/>
    <mergeCell ref="B878:C878"/>
    <mergeCell ref="B879:C879"/>
    <mergeCell ref="B820:C820"/>
    <mergeCell ref="B822:C822"/>
    <mergeCell ref="B827:C827"/>
    <mergeCell ref="I894:J894"/>
    <mergeCell ref="K894:P894"/>
    <mergeCell ref="I896:J896"/>
    <mergeCell ref="A779:E779"/>
    <mergeCell ref="I798:P799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86:C886"/>
    <mergeCell ref="B891:C891"/>
    <mergeCell ref="I892:J892"/>
    <mergeCell ref="K892:P892"/>
    <mergeCell ref="I893:J893"/>
    <mergeCell ref="I832:J832"/>
    <mergeCell ref="A715:E715"/>
    <mergeCell ref="I734:P735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I828:J828"/>
    <mergeCell ref="K828:P828"/>
    <mergeCell ref="I829:J829"/>
    <mergeCell ref="K829:P829"/>
    <mergeCell ref="I830:J830"/>
    <mergeCell ref="K830:P830"/>
    <mergeCell ref="B818:C818"/>
    <mergeCell ref="B819:C819"/>
    <mergeCell ref="I765:J765"/>
    <mergeCell ref="K765:P765"/>
    <mergeCell ref="I766:J766"/>
    <mergeCell ref="K766:P766"/>
    <mergeCell ref="I768:J768"/>
    <mergeCell ref="B756:C756"/>
    <mergeCell ref="B758:C758"/>
    <mergeCell ref="B763:C763"/>
    <mergeCell ref="I764:J764"/>
    <mergeCell ref="K764:P764"/>
    <mergeCell ref="B617:C617"/>
    <mergeCell ref="B618:C618"/>
    <mergeCell ref="B619:C619"/>
    <mergeCell ref="B620:C620"/>
    <mergeCell ref="B621:C621"/>
    <mergeCell ref="A586:E586"/>
    <mergeCell ref="I605:P606"/>
    <mergeCell ref="B614:C614"/>
    <mergeCell ref="B615:C615"/>
    <mergeCell ref="B616:C616"/>
    <mergeCell ref="B627:C627"/>
    <mergeCell ref="B629:C629"/>
    <mergeCell ref="B634:C634"/>
    <mergeCell ref="I635:J635"/>
    <mergeCell ref="K635:P635"/>
    <mergeCell ref="B622:C622"/>
    <mergeCell ref="B623:C623"/>
    <mergeCell ref="B624:C624"/>
    <mergeCell ref="B625:C625"/>
    <mergeCell ref="B626:C626"/>
    <mergeCell ref="I703:J703"/>
    <mergeCell ref="B691:C691"/>
    <mergeCell ref="B693:C693"/>
    <mergeCell ref="B698:C698"/>
    <mergeCell ref="I699:J699"/>
    <mergeCell ref="K699:P699"/>
    <mergeCell ref="B686:C686"/>
    <mergeCell ref="B687:C687"/>
    <mergeCell ref="B688:C688"/>
    <mergeCell ref="B689:C689"/>
    <mergeCell ref="B690:C690"/>
    <mergeCell ref="A521:E521"/>
    <mergeCell ref="I540:P541"/>
    <mergeCell ref="B549:C549"/>
    <mergeCell ref="B550:C550"/>
    <mergeCell ref="B551:C551"/>
    <mergeCell ref="I700:J700"/>
    <mergeCell ref="K700:P700"/>
    <mergeCell ref="I701:J701"/>
    <mergeCell ref="K701:P701"/>
    <mergeCell ref="B681:C681"/>
    <mergeCell ref="B682:C682"/>
    <mergeCell ref="B683:C683"/>
    <mergeCell ref="B684:C684"/>
    <mergeCell ref="B685:C685"/>
    <mergeCell ref="A650:E650"/>
    <mergeCell ref="I669:P670"/>
    <mergeCell ref="B678:C678"/>
    <mergeCell ref="B679:C679"/>
    <mergeCell ref="B680:C680"/>
    <mergeCell ref="I636:J636"/>
    <mergeCell ref="K636:P636"/>
    <mergeCell ref="I637:J637"/>
    <mergeCell ref="K637:P637"/>
    <mergeCell ref="I639:J639"/>
    <mergeCell ref="B557:C557"/>
    <mergeCell ref="B558:C558"/>
    <mergeCell ref="B559:C559"/>
    <mergeCell ref="B560:C560"/>
    <mergeCell ref="B561:C561"/>
    <mergeCell ref="B552:C552"/>
    <mergeCell ref="B553:C553"/>
    <mergeCell ref="B554:C554"/>
    <mergeCell ref="B555:C555"/>
    <mergeCell ref="B556:C556"/>
    <mergeCell ref="I571:J571"/>
    <mergeCell ref="K571:P571"/>
    <mergeCell ref="I572:J572"/>
    <mergeCell ref="K572:P572"/>
    <mergeCell ref="I574:J574"/>
    <mergeCell ref="B562:C562"/>
    <mergeCell ref="B564:C564"/>
    <mergeCell ref="B569:C569"/>
    <mergeCell ref="I570:J570"/>
    <mergeCell ref="K570:P570"/>
    <mergeCell ref="A129:E129"/>
    <mergeCell ref="I148:P149"/>
    <mergeCell ref="B157:C157"/>
    <mergeCell ref="B158:C158"/>
    <mergeCell ref="B159:C159"/>
    <mergeCell ref="B160:C160"/>
    <mergeCell ref="B161:C161"/>
    <mergeCell ref="B162:C162"/>
    <mergeCell ref="B163:C163"/>
    <mergeCell ref="I178:J178"/>
    <mergeCell ref="K178:P178"/>
    <mergeCell ref="I179:J179"/>
    <mergeCell ref="K179:P179"/>
    <mergeCell ref="I180:J180"/>
    <mergeCell ref="K180:P180"/>
    <mergeCell ref="I182:J182"/>
    <mergeCell ref="B164:C164"/>
    <mergeCell ref="B165:C165"/>
    <mergeCell ref="B166:C166"/>
    <mergeCell ref="B167:C167"/>
    <mergeCell ref="B168:C168"/>
    <mergeCell ref="B169:C169"/>
    <mergeCell ref="B170:C170"/>
    <mergeCell ref="B172:C172"/>
    <mergeCell ref="B177:C177"/>
    <mergeCell ref="A1:E1"/>
    <mergeCell ref="I20:P21"/>
    <mergeCell ref="B29:C29"/>
    <mergeCell ref="B30:C30"/>
    <mergeCell ref="B31:C31"/>
    <mergeCell ref="B32:C32"/>
    <mergeCell ref="B33:C33"/>
    <mergeCell ref="B34:C34"/>
    <mergeCell ref="B35:C35"/>
    <mergeCell ref="I50:J50"/>
    <mergeCell ref="K50:P50"/>
    <mergeCell ref="I51:J51"/>
    <mergeCell ref="K51:P51"/>
    <mergeCell ref="I52:J52"/>
    <mergeCell ref="K52:P52"/>
    <mergeCell ref="I54:J54"/>
    <mergeCell ref="B36:C36"/>
    <mergeCell ref="B37:C37"/>
    <mergeCell ref="B38:C38"/>
    <mergeCell ref="B39:C39"/>
    <mergeCell ref="B40:C40"/>
    <mergeCell ref="B41:C41"/>
    <mergeCell ref="B42:C42"/>
    <mergeCell ref="B44:C44"/>
    <mergeCell ref="B49:C4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0C3C-F22B-4727-9510-A612FEA216FD}">
  <dimension ref="A1:CA1255"/>
  <sheetViews>
    <sheetView topLeftCell="A12" zoomScale="101" zoomScaleNormal="100" workbookViewId="0">
      <selection activeCell="I25" sqref="I25"/>
    </sheetView>
  </sheetViews>
  <sheetFormatPr baseColWidth="10" defaultColWidth="9" defaultRowHeight="14.25"/>
  <cols>
    <col min="1" max="1" width="24.73046875" customWidth="1"/>
    <col min="2" max="2" width="14.59765625" customWidth="1"/>
    <col min="3" max="3" width="13.1328125" customWidth="1"/>
    <col min="4" max="4" width="11.73046875" customWidth="1"/>
    <col min="5" max="5" width="11.1328125" bestFit="1" customWidth="1"/>
    <col min="6" max="6" width="12.59765625" bestFit="1" customWidth="1"/>
    <col min="7" max="7" width="11.3984375" customWidth="1"/>
    <col min="8" max="8" width="10.265625" bestFit="1" customWidth="1"/>
    <col min="9" max="9" width="13.1328125" bestFit="1" customWidth="1"/>
    <col min="10" max="10" width="10.265625" bestFit="1" customWidth="1"/>
    <col min="11" max="11" width="12.265625" bestFit="1" customWidth="1"/>
    <col min="12" max="12" width="12.265625" customWidth="1"/>
    <col min="13" max="14" width="11.1328125" bestFit="1" customWidth="1"/>
    <col min="15" max="15" width="10.265625" bestFit="1" customWidth="1"/>
    <col min="16" max="16" width="15.265625" customWidth="1"/>
    <col min="17" max="17" width="15.1328125" customWidth="1"/>
    <col min="18" max="18" width="10.3984375" bestFit="1" customWidth="1"/>
    <col min="19" max="19" width="10.1328125" bestFit="1" customWidth="1"/>
    <col min="20" max="20" width="10.265625" customWidth="1"/>
    <col min="21" max="21" width="10.1328125" bestFit="1" customWidth="1"/>
    <col min="22" max="22" width="10.265625" customWidth="1"/>
    <col min="23" max="23" width="10.1328125" bestFit="1" customWidth="1"/>
    <col min="24" max="24" width="10.1328125" customWidth="1"/>
    <col min="25" max="25" width="10.1328125" bestFit="1" customWidth="1"/>
    <col min="26" max="26" width="10.59765625" customWidth="1"/>
    <col min="27" max="29" width="10.1328125" bestFit="1" customWidth="1"/>
    <col min="30" max="30" width="11.1328125" bestFit="1" customWidth="1"/>
    <col min="31" max="35" width="10.1328125" bestFit="1" customWidth="1"/>
    <col min="36" max="36" width="10.3984375" customWidth="1"/>
    <col min="37" max="38" width="10.1328125" bestFit="1" customWidth="1"/>
    <col min="40" max="40" width="10.265625" bestFit="1" customWidth="1"/>
    <col min="50" max="51" width="11.59765625" customWidth="1"/>
  </cols>
  <sheetData>
    <row r="1" spans="1:39" ht="27" thickBot="1">
      <c r="A1" s="453" t="s">
        <v>413</v>
      </c>
      <c r="B1" s="454"/>
      <c r="C1" s="454"/>
      <c r="D1" s="454"/>
      <c r="E1" s="454"/>
      <c r="F1" s="388"/>
      <c r="G1" s="388"/>
      <c r="H1" s="389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386"/>
      <c r="AD1" s="386"/>
      <c r="AE1" s="386"/>
      <c r="AF1" s="386"/>
      <c r="AG1" s="386"/>
      <c r="AH1" s="386"/>
      <c r="AI1" s="386"/>
      <c r="AJ1" s="386"/>
      <c r="AK1" s="386"/>
      <c r="AL1" s="390"/>
    </row>
    <row r="2" spans="1:39" ht="14.65" thickBot="1">
      <c r="A2" s="30" t="s">
        <v>131</v>
      </c>
      <c r="C2" s="31">
        <v>46143</v>
      </c>
      <c r="D2" s="31">
        <v>46113</v>
      </c>
      <c r="E2" s="31">
        <v>46054</v>
      </c>
      <c r="F2" s="31">
        <f>+E2-1</f>
        <v>46053</v>
      </c>
      <c r="G2" s="31">
        <f>+F2-1</f>
        <v>46052</v>
      </c>
      <c r="H2" s="31">
        <f t="shared" ref="H2" si="0">+G2-1</f>
        <v>46051</v>
      </c>
      <c r="I2" s="31">
        <f t="shared" ref="I2" si="1">+H2-1</f>
        <v>46050</v>
      </c>
      <c r="J2" s="31">
        <f t="shared" ref="J2" si="2">+I2-1</f>
        <v>46049</v>
      </c>
      <c r="K2" s="31">
        <f t="shared" ref="K2" si="3">+J2-1</f>
        <v>46048</v>
      </c>
      <c r="L2" s="31">
        <f t="shared" ref="L2" si="4">+K2-1</f>
        <v>46047</v>
      </c>
      <c r="M2" s="31">
        <f t="shared" ref="M2" si="5">+L2-1</f>
        <v>46046</v>
      </c>
      <c r="N2" s="31">
        <f t="shared" ref="N2" si="6">+M2-1</f>
        <v>46045</v>
      </c>
      <c r="O2" s="31">
        <f t="shared" ref="O2" si="7">+N2-1</f>
        <v>46044</v>
      </c>
      <c r="P2" s="31">
        <f t="shared" ref="P2" si="8">+O2-1</f>
        <v>46043</v>
      </c>
      <c r="Q2" s="31">
        <f t="shared" ref="Q2" si="9">+P2-1</f>
        <v>46042</v>
      </c>
      <c r="R2" s="31">
        <f t="shared" ref="R2" si="10">+Q2-1</f>
        <v>46041</v>
      </c>
      <c r="S2" s="31">
        <f t="shared" ref="S2" si="11">+R2-1</f>
        <v>46040</v>
      </c>
      <c r="T2" s="31">
        <f t="shared" ref="T2" si="12">+S2-1</f>
        <v>46039</v>
      </c>
      <c r="U2" s="31">
        <f t="shared" ref="U2" si="13">+T2-1</f>
        <v>46038</v>
      </c>
      <c r="V2" s="31">
        <f t="shared" ref="V2" si="14">+U2-1</f>
        <v>46037</v>
      </c>
      <c r="W2" s="31">
        <f t="shared" ref="W2" si="15">+V2-1</f>
        <v>46036</v>
      </c>
      <c r="X2" s="31">
        <f t="shared" ref="X2" si="16">+W2-1</f>
        <v>46035</v>
      </c>
      <c r="Y2" s="31">
        <f t="shared" ref="Y2" si="17">+X2-1</f>
        <v>46034</v>
      </c>
      <c r="Z2" s="31">
        <f t="shared" ref="Z2" si="18">+Y2-1</f>
        <v>46033</v>
      </c>
      <c r="AA2" s="31">
        <f t="shared" ref="AA2" si="19">+Z2-1</f>
        <v>46032</v>
      </c>
      <c r="AB2" s="31">
        <f t="shared" ref="AB2" si="20">+AA2-1</f>
        <v>46031</v>
      </c>
      <c r="AC2" s="31">
        <f t="shared" ref="AC2" si="21">+AB2-1</f>
        <v>46030</v>
      </c>
      <c r="AD2" s="31">
        <f t="shared" ref="AD2" si="22">+AC2-1</f>
        <v>46029</v>
      </c>
      <c r="AE2" s="31">
        <f t="shared" ref="AE2" si="23">+AD2-1</f>
        <v>46028</v>
      </c>
      <c r="AF2" s="31">
        <f t="shared" ref="AF2" si="24">+AE2-1</f>
        <v>46027</v>
      </c>
      <c r="AG2" s="31">
        <f t="shared" ref="AG2" si="25">+AF2-1</f>
        <v>46026</v>
      </c>
      <c r="AH2" s="31">
        <f t="shared" ref="AH2" si="26">+AG2-1</f>
        <v>46025</v>
      </c>
      <c r="AI2" s="31">
        <f t="shared" ref="AI2" si="27">+AH2-1</f>
        <v>46024</v>
      </c>
      <c r="AJ2" s="31">
        <f t="shared" ref="AJ2" si="28">+AI2-1</f>
        <v>46023</v>
      </c>
      <c r="AK2" s="31">
        <f t="shared" ref="AK2" si="29">+AJ2-1</f>
        <v>46022</v>
      </c>
      <c r="AL2" s="31">
        <f t="shared" ref="AL2" si="30">+AK2-1</f>
        <v>46021</v>
      </c>
    </row>
    <row r="3" spans="1:39" ht="14.65" thickBot="1">
      <c r="A3" s="32" t="s">
        <v>132</v>
      </c>
      <c r="C3" s="33">
        <v>1</v>
      </c>
      <c r="D3" s="34">
        <v>2</v>
      </c>
      <c r="E3" s="34">
        <v>3</v>
      </c>
      <c r="F3" s="34">
        <v>4</v>
      </c>
      <c r="G3" s="34">
        <v>5</v>
      </c>
      <c r="H3" s="34">
        <v>6</v>
      </c>
      <c r="I3" s="34">
        <v>7</v>
      </c>
      <c r="J3" s="34">
        <v>8</v>
      </c>
      <c r="K3" s="34">
        <v>9</v>
      </c>
      <c r="L3" s="34">
        <v>10</v>
      </c>
      <c r="M3" s="34">
        <v>11</v>
      </c>
      <c r="N3" s="34">
        <v>12</v>
      </c>
      <c r="O3" s="34">
        <v>13</v>
      </c>
      <c r="P3" s="34">
        <v>14</v>
      </c>
      <c r="Q3" s="34">
        <v>15</v>
      </c>
      <c r="R3" s="34">
        <v>16</v>
      </c>
      <c r="S3" s="34">
        <v>17</v>
      </c>
      <c r="T3" s="34">
        <v>18</v>
      </c>
      <c r="U3" s="34">
        <v>19</v>
      </c>
      <c r="V3" s="34">
        <v>20</v>
      </c>
      <c r="W3" s="34">
        <v>21</v>
      </c>
      <c r="X3" s="34">
        <v>22</v>
      </c>
      <c r="Y3" s="34">
        <v>23</v>
      </c>
      <c r="Z3" s="34">
        <v>24</v>
      </c>
      <c r="AA3" s="34">
        <v>25</v>
      </c>
      <c r="AB3" s="34">
        <v>26</v>
      </c>
      <c r="AC3" s="34">
        <v>27</v>
      </c>
      <c r="AD3" s="34">
        <v>28</v>
      </c>
      <c r="AE3" s="34">
        <v>29</v>
      </c>
      <c r="AF3" s="34">
        <v>30</v>
      </c>
      <c r="AG3" s="34">
        <v>31</v>
      </c>
      <c r="AH3" s="34">
        <v>32</v>
      </c>
      <c r="AI3" s="34">
        <v>33</v>
      </c>
      <c r="AJ3" s="34">
        <v>34</v>
      </c>
      <c r="AK3" s="34">
        <v>35</v>
      </c>
      <c r="AL3" s="35">
        <v>36</v>
      </c>
      <c r="AM3">
        <v>37</v>
      </c>
    </row>
    <row r="4" spans="1:39" ht="14.25" customHeight="1">
      <c r="A4" s="36" t="s">
        <v>133</v>
      </c>
      <c r="B4" s="418" t="s">
        <v>134</v>
      </c>
      <c r="C4">
        <v>2397233.6800000002</v>
      </c>
      <c r="D4">
        <v>2960156.99</v>
      </c>
      <c r="E4">
        <v>4209270.5</v>
      </c>
      <c r="F4">
        <v>1696819.79</v>
      </c>
      <c r="G4">
        <v>2300530.62</v>
      </c>
      <c r="H4">
        <v>4450734.46</v>
      </c>
      <c r="I4">
        <v>3670112.92</v>
      </c>
      <c r="J4">
        <v>4083532.72</v>
      </c>
      <c r="K4">
        <v>2189861.0699999998</v>
      </c>
      <c r="L4">
        <v>1874142.03</v>
      </c>
      <c r="M4">
        <v>1833374.48</v>
      </c>
      <c r="N4">
        <v>4607166.63</v>
      </c>
      <c r="O4">
        <v>2820821.15</v>
      </c>
      <c r="P4">
        <v>782906.23</v>
      </c>
      <c r="Q4">
        <v>2067720.25</v>
      </c>
      <c r="R4">
        <v>617683.24</v>
      </c>
      <c r="S4">
        <v>1559918.68</v>
      </c>
      <c r="T4">
        <v>737174.32</v>
      </c>
      <c r="U4">
        <v>1317797.56</v>
      </c>
      <c r="V4">
        <v>1165806.57</v>
      </c>
      <c r="W4">
        <v>1756627.76</v>
      </c>
      <c r="X4">
        <v>578411.6</v>
      </c>
      <c r="Y4">
        <v>516057.94</v>
      </c>
      <c r="Z4">
        <v>1398452.72</v>
      </c>
      <c r="AA4">
        <v>1196543.32</v>
      </c>
      <c r="AB4">
        <v>254468.58</v>
      </c>
      <c r="AC4">
        <v>426109.63</v>
      </c>
      <c r="AD4">
        <v>178220.97</v>
      </c>
      <c r="AE4">
        <v>211448.28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</row>
    <row r="5" spans="1:39">
      <c r="A5" s="36" t="s">
        <v>135</v>
      </c>
      <c r="B5" s="419"/>
      <c r="C5">
        <v>3974390.48</v>
      </c>
      <c r="D5">
        <v>3602644.88</v>
      </c>
      <c r="E5">
        <v>2182249.27</v>
      </c>
      <c r="F5">
        <v>1980532.32</v>
      </c>
      <c r="G5">
        <v>1619575.07</v>
      </c>
      <c r="H5">
        <v>1668719.81</v>
      </c>
      <c r="I5">
        <v>6424622.2000000002</v>
      </c>
      <c r="J5">
        <v>2635996.7400000002</v>
      </c>
      <c r="K5">
        <v>2069045.53</v>
      </c>
      <c r="L5">
        <v>1543549.01</v>
      </c>
      <c r="M5">
        <v>2013442</v>
      </c>
      <c r="N5">
        <v>4793112.29</v>
      </c>
      <c r="O5">
        <v>1222465.47</v>
      </c>
      <c r="P5">
        <v>1574953.55</v>
      </c>
      <c r="Q5">
        <v>956422.76</v>
      </c>
      <c r="R5">
        <v>768241.75</v>
      </c>
      <c r="S5">
        <v>2113154.59</v>
      </c>
      <c r="T5">
        <v>861654.21</v>
      </c>
      <c r="U5">
        <v>1842429.69</v>
      </c>
      <c r="V5">
        <v>1224222.3899999999</v>
      </c>
      <c r="W5">
        <v>1201812.95</v>
      </c>
      <c r="X5">
        <v>1374026.67</v>
      </c>
      <c r="Y5">
        <v>1096302.8999999999</v>
      </c>
      <c r="Z5">
        <v>1775528.44</v>
      </c>
      <c r="AA5">
        <v>501210.67</v>
      </c>
      <c r="AB5">
        <v>886090.21</v>
      </c>
      <c r="AC5">
        <v>139200.69</v>
      </c>
      <c r="AD5">
        <v>290738.26</v>
      </c>
      <c r="AE5">
        <v>185822.73</v>
      </c>
      <c r="AF5">
        <v>178539.47</v>
      </c>
      <c r="AG5">
        <v>173366.01</v>
      </c>
      <c r="AH5">
        <v>115925.27</v>
      </c>
      <c r="AI5">
        <v>117415.54</v>
      </c>
      <c r="AJ5">
        <v>6551.72</v>
      </c>
      <c r="AK5">
        <v>0</v>
      </c>
      <c r="AL5">
        <v>0</v>
      </c>
    </row>
    <row r="6" spans="1:39">
      <c r="A6" s="36" t="s">
        <v>136</v>
      </c>
      <c r="B6" s="419"/>
      <c r="C6">
        <v>478540</v>
      </c>
      <c r="D6">
        <v>-1138192.25</v>
      </c>
      <c r="E6">
        <v>589314</v>
      </c>
      <c r="F6">
        <v>1021140.63</v>
      </c>
      <c r="G6">
        <v>1391788.5</v>
      </c>
      <c r="H6">
        <v>646909.25</v>
      </c>
      <c r="I6">
        <v>-641674.5</v>
      </c>
      <c r="J6">
        <v>1495215.25</v>
      </c>
      <c r="K6">
        <v>547410.38</v>
      </c>
      <c r="L6">
        <v>232783.25</v>
      </c>
      <c r="M6">
        <v>-195164</v>
      </c>
      <c r="N6">
        <v>888085</v>
      </c>
      <c r="O6">
        <v>552787.75</v>
      </c>
      <c r="P6">
        <v>-488213.81</v>
      </c>
      <c r="Q6">
        <v>534324.5</v>
      </c>
      <c r="R6">
        <v>199839.63</v>
      </c>
      <c r="S6">
        <v>106198.13</v>
      </c>
      <c r="T6">
        <v>-132263.5</v>
      </c>
      <c r="U6">
        <v>-158492.5</v>
      </c>
      <c r="V6">
        <v>707147.25</v>
      </c>
      <c r="W6">
        <v>354586.38</v>
      </c>
      <c r="X6">
        <v>20591.88</v>
      </c>
      <c r="Y6">
        <v>-421876.25</v>
      </c>
      <c r="Z6">
        <v>-765119.5</v>
      </c>
      <c r="AA6">
        <v>690429.81</v>
      </c>
      <c r="AB6">
        <v>-513046.84</v>
      </c>
      <c r="AC6">
        <v>193111.06</v>
      </c>
      <c r="AD6">
        <v>-40436.06</v>
      </c>
      <c r="AE6">
        <v>32845.17</v>
      </c>
      <c r="AF6">
        <v>-171255.84</v>
      </c>
      <c r="AG6">
        <v>-174027.22</v>
      </c>
      <c r="AH6">
        <v>-131374.26999999999</v>
      </c>
      <c r="AI6">
        <v>-110476.75</v>
      </c>
      <c r="AJ6">
        <v>0</v>
      </c>
      <c r="AK6">
        <v>1</v>
      </c>
      <c r="AL6">
        <v>0</v>
      </c>
    </row>
    <row r="7" spans="1:39">
      <c r="A7" s="36" t="s">
        <v>137</v>
      </c>
      <c r="B7" s="419"/>
      <c r="C7">
        <v>251980.92</v>
      </c>
      <c r="D7">
        <v>824425.92</v>
      </c>
      <c r="E7">
        <v>437231.84</v>
      </c>
      <c r="F7">
        <v>176760.8</v>
      </c>
      <c r="G7">
        <v>357662.8</v>
      </c>
      <c r="H7">
        <v>808906.28</v>
      </c>
      <c r="I7">
        <v>142877.22</v>
      </c>
      <c r="J7">
        <v>181333.52</v>
      </c>
      <c r="K7">
        <v>135250.23000000001</v>
      </c>
      <c r="L7">
        <v>213097.68</v>
      </c>
      <c r="M7">
        <v>211370.6</v>
      </c>
      <c r="N7">
        <v>347476.51</v>
      </c>
      <c r="O7">
        <v>110180.83</v>
      </c>
      <c r="P7">
        <v>82001.16</v>
      </c>
      <c r="Q7">
        <v>228639.57</v>
      </c>
      <c r="R7">
        <v>112543.4</v>
      </c>
      <c r="S7">
        <v>96850.45</v>
      </c>
      <c r="T7">
        <v>55294.879999999997</v>
      </c>
      <c r="U7">
        <v>30390.01</v>
      </c>
      <c r="V7">
        <v>50898</v>
      </c>
      <c r="W7">
        <v>106298</v>
      </c>
      <c r="X7">
        <v>82360</v>
      </c>
      <c r="Y7">
        <v>44080</v>
      </c>
      <c r="Z7">
        <v>20880</v>
      </c>
      <c r="AA7">
        <v>12007.16</v>
      </c>
      <c r="AB7">
        <v>0</v>
      </c>
      <c r="AC7">
        <v>10796.12</v>
      </c>
      <c r="AD7">
        <v>2526.48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9" ht="14.65" thickBot="1">
      <c r="A8" s="44" t="s">
        <v>138</v>
      </c>
      <c r="B8" s="420"/>
      <c r="C8">
        <v>345450.8</v>
      </c>
      <c r="D8">
        <v>177153.75</v>
      </c>
      <c r="E8">
        <v>212003.44</v>
      </c>
      <c r="F8">
        <v>476171.29</v>
      </c>
      <c r="G8">
        <v>93368.51</v>
      </c>
      <c r="H8">
        <v>160999.84</v>
      </c>
      <c r="I8">
        <v>137428.04999999999</v>
      </c>
      <c r="J8">
        <v>94398.11</v>
      </c>
      <c r="K8">
        <v>0.08</v>
      </c>
      <c r="L8">
        <v>34120.17</v>
      </c>
      <c r="M8">
        <v>86775.64</v>
      </c>
      <c r="N8">
        <v>455115.55</v>
      </c>
      <c r="O8">
        <v>136160.76</v>
      </c>
      <c r="P8">
        <v>1479.11</v>
      </c>
      <c r="Q8">
        <v>59613.120000000003</v>
      </c>
      <c r="R8">
        <v>117400.11</v>
      </c>
      <c r="S8">
        <v>558477.17000000004</v>
      </c>
      <c r="T8">
        <v>35321.79</v>
      </c>
      <c r="U8">
        <v>190842.83</v>
      </c>
      <c r="V8">
        <v>76499.81</v>
      </c>
      <c r="W8">
        <v>30438.41</v>
      </c>
      <c r="X8">
        <v>296532.43</v>
      </c>
      <c r="Y8">
        <v>63964.75</v>
      </c>
      <c r="Z8">
        <v>29191</v>
      </c>
      <c r="AA8">
        <v>41653.339999999997</v>
      </c>
      <c r="AB8">
        <v>9645.7900000000009</v>
      </c>
      <c r="AC8">
        <v>0</v>
      </c>
      <c r="AD8">
        <v>0</v>
      </c>
      <c r="AE8">
        <v>449</v>
      </c>
      <c r="AF8">
        <v>449</v>
      </c>
      <c r="AG8">
        <v>449</v>
      </c>
      <c r="AH8">
        <v>1448</v>
      </c>
      <c r="AI8">
        <v>0</v>
      </c>
      <c r="AJ8">
        <v>0</v>
      </c>
      <c r="AK8">
        <v>0</v>
      </c>
      <c r="AL8">
        <v>0</v>
      </c>
    </row>
    <row r="9" spans="1:39" ht="14.65" thickBot="1"/>
    <row r="10" spans="1:39">
      <c r="A10" s="47" t="s">
        <v>139</v>
      </c>
      <c r="B10" s="48" t="s">
        <v>140</v>
      </c>
      <c r="C10" t="s">
        <v>141</v>
      </c>
      <c r="E10" s="455" t="s">
        <v>142</v>
      </c>
      <c r="F10" s="455"/>
      <c r="I10" s="414" t="s">
        <v>143</v>
      </c>
      <c r="J10" s="414"/>
      <c r="M10" s="415" t="s">
        <v>144</v>
      </c>
      <c r="N10" s="415"/>
    </row>
    <row r="11" spans="1:39">
      <c r="A11" s="24" t="s">
        <v>145</v>
      </c>
      <c r="B11" s="72">
        <v>0.35</v>
      </c>
      <c r="C11" s="217">
        <f>+B11*F15</f>
        <v>26.599999999999998</v>
      </c>
      <c r="E11" s="49" t="s">
        <v>146</v>
      </c>
      <c r="F11" s="23">
        <f>IF(B67&gt;=(B68*1.5),100,IF(B67&gt;=(B68*1.3),80,IF(B67&gt;=(B68*1),50,IF(B67&gt;=(B68*0.75),30,IF(B67&gt;=(B68*0.5),15,IF(B67&gt;=(B68*0.25),10,IF(B67&gt;=(B68*0.1),0,-30)))))))</f>
        <v>100</v>
      </c>
      <c r="G11" s="7"/>
      <c r="I11" s="49" t="s">
        <v>147</v>
      </c>
      <c r="J11">
        <f>IF(B52&lt;0.02,100,IF(B52&lt;0.05,70,IF(B52&lt;0.1,40,0)))</f>
        <v>40</v>
      </c>
      <c r="M11" s="49" t="s">
        <v>148</v>
      </c>
      <c r="N11">
        <f>IF(B45&gt;=36,100,
IF(B45&gt;=24,80,
IF(B45&gt;=12,60,40)))</f>
        <v>100</v>
      </c>
    </row>
    <row r="12" spans="1:39">
      <c r="A12" s="24" t="s">
        <v>61</v>
      </c>
      <c r="B12" s="72">
        <v>0.25</v>
      </c>
      <c r="C12" s="217">
        <f>+B12*N18</f>
        <v>13.625</v>
      </c>
      <c r="E12" s="49" t="s">
        <v>149</v>
      </c>
      <c r="F12">
        <f>IF(B34&gt;0.3,100,IF(B34&gt;0.2,80,IF(B34&gt;0.15,60,IF(B34&gt;0.1,40,IF(B34&gt;0.05,20,IF(B34&gt;0,0,-20))))))</f>
        <v>40</v>
      </c>
      <c r="G12" s="7"/>
      <c r="I12" s="49" t="s">
        <v>150</v>
      </c>
      <c r="J12">
        <f>IF(B46=1,-100,100)</f>
        <v>100</v>
      </c>
      <c r="M12" s="49" t="s">
        <v>151</v>
      </c>
      <c r="N12">
        <f>IF(B44&gt;=24,100,
IF(B44&gt;=12,80,
IF(B44&gt;=6,60,40)))</f>
        <v>100</v>
      </c>
    </row>
    <row r="13" spans="1:39" ht="14.65" thickBot="1">
      <c r="A13" s="24" t="s">
        <v>152</v>
      </c>
      <c r="B13" s="72">
        <v>7.4999999999999997E-2</v>
      </c>
      <c r="C13" s="217">
        <f>+B13*J14</f>
        <v>6</v>
      </c>
      <c r="E13" s="49" t="s">
        <v>153</v>
      </c>
      <c r="F13" s="23">
        <f>IF(B37&lt;0.1,100,IF(B37&lt;0.2,80,IF(B37&lt;0.3,60,IF(B37&lt;0.4,30,IF(B37&lt;0.5,20,IF(B37&gt;0.5,0,))))))</f>
        <v>60</v>
      </c>
      <c r="G13" s="7"/>
      <c r="I13" s="49" t="s">
        <v>154</v>
      </c>
      <c r="J13">
        <f>IF(B56="NO FACHADA",100,-50)</f>
        <v>100</v>
      </c>
      <c r="M13" s="49" t="s">
        <v>155</v>
      </c>
      <c r="N13">
        <f>IF(B41&gt;0.2,100,
IF(B41&gt;0.1,80,
IF(B41&gt;0,40,IF(B41&gt;-0.05,0,-40))))</f>
        <v>0</v>
      </c>
    </row>
    <row r="14" spans="1:39" ht="15" thickTop="1" thickBot="1">
      <c r="A14" s="24" t="s">
        <v>156</v>
      </c>
      <c r="B14" s="72">
        <v>7.4999999999999997E-2</v>
      </c>
      <c r="C14" s="217">
        <f>+B14*J20</f>
        <v>4</v>
      </c>
      <c r="E14" s="49" t="str">
        <f>+A70</f>
        <v>Activo VS ventas anuales</v>
      </c>
      <c r="F14">
        <f>IF(B70&lt;0.1,100,
IF(B70&lt;0.2,80,
IF(B70&lt;0.3,40,IF(B70&lt;0.5,20,IF(B70&lt;0.7,0,-40)))))</f>
        <v>100</v>
      </c>
      <c r="G14" s="7"/>
      <c r="J14" s="215">
        <f>AVERAGE(J11,J12,J13)</f>
        <v>80</v>
      </c>
      <c r="L14" s="23"/>
      <c r="M14" s="442" t="s">
        <v>402</v>
      </c>
      <c r="N14" s="447">
        <f>+D42</f>
        <v>100</v>
      </c>
    </row>
    <row r="15" spans="1:39" ht="15" thickTop="1" thickBot="1">
      <c r="A15" s="50" t="s">
        <v>158</v>
      </c>
      <c r="B15" s="368">
        <v>0.25</v>
      </c>
      <c r="C15" s="217">
        <f>+B15*F20</f>
        <v>19.399999999999999</v>
      </c>
      <c r="D15" s="217">
        <f>+B15*G20</f>
        <v>25</v>
      </c>
      <c r="F15" s="215">
        <f>F11*0.4 + F12*0.3 + F13*0.15+F14*0.15</f>
        <v>76</v>
      </c>
      <c r="G15" s="7"/>
      <c r="M15" s="49" t="s">
        <v>157</v>
      </c>
      <c r="N15">
        <f>IF(B30&lt;30,100,IF(B30&lt;45,90,IF(B30&lt;60,75,IF(B30&lt;75,60,IF(B30&lt;90,40,20)))))</f>
        <v>100</v>
      </c>
    </row>
    <row r="16" spans="1:39" ht="16.149999999999999" thickBot="1">
      <c r="A16" s="377" t="s">
        <v>360</v>
      </c>
      <c r="B16" s="378">
        <f>+(C11+C12+C13+C14+C15)*10</f>
        <v>696.25</v>
      </c>
      <c r="I16" s="416" t="s">
        <v>160</v>
      </c>
      <c r="J16" s="416"/>
      <c r="M16" s="49" t="s">
        <v>159</v>
      </c>
      <c r="N16">
        <f>IF(AND(B31&gt;=30,B31&lt;=60),100,IF(OR(AND(B31&gt;=15,B31&lt;30),AND(B31&gt;60,B31&lt;=75)),70,20))</f>
        <v>20</v>
      </c>
    </row>
    <row r="17" spans="1:14" ht="16.149999999999999" thickBot="1">
      <c r="A17" s="44" t="s">
        <v>361</v>
      </c>
      <c r="B17" s="379">
        <f>+(C11+C12+C13+C14+D15)*10</f>
        <v>752.25</v>
      </c>
      <c r="C17" s="384" t="str">
        <f>IF(B17&gt;=850,"Excelente Candidato",
IF(B17&gt;=700,"Aprobación",
IF(B17&gt;=550,"Aprobar con Aval",
IF(B17&gt;=500,"Revisar con Obligado",IF(B17&gt;=400,"Solicitar Aval * Depósitos","Sugerenica Rechazo")))))</f>
        <v>Aprobación</v>
      </c>
      <c r="E17" s="417" t="s">
        <v>161</v>
      </c>
      <c r="F17" s="417"/>
      <c r="G17" s="23" t="s">
        <v>162</v>
      </c>
      <c r="I17" s="49" t="s">
        <v>163</v>
      </c>
      <c r="J17">
        <f>IF(B48&lt;1500,100,IF(B48&lt;2000,50,IF(B48&lt;2500,25,IF(B48&lt;3500,0,IF(B48&gt;=3500,-30,)))))</f>
        <v>100</v>
      </c>
      <c r="M17" s="49" t="str">
        <f>+A36</f>
        <v>Coeficiente Variacion Flujo</v>
      </c>
      <c r="N17">
        <f>IF(B26&lt;0,IF(B36&gt;2,-30,0),IF(B36&lt;1,100,IF(B36&lt;2,70,IF(B36&lt;3,40,IF(B36&lt;4,30,IF(B36&lt;5,0,-30))))))</f>
        <v>70</v>
      </c>
    </row>
    <row r="18" spans="1:14" ht="15" thickTop="1" thickBot="1">
      <c r="A18" s="8" t="s">
        <v>164</v>
      </c>
      <c r="B18" s="383" t="str">
        <f>IF(B17&gt;=850,"Muy poco riesgo",
IF(B17&gt;=700,"Riesgo Bajo",
IF(B17&gt;=600,"Riesgo aceptable",
IF(B17&gt;=500,"Riesgo Medio",IF(B17&gt;=400,"Riesgo Alto","Riesgo muy Alto")))))</f>
        <v>Riesgo Bajo</v>
      </c>
      <c r="C18" s="318" t="str">
        <f>+IF(B47="RECHAZAR","RECHAZAR",IF(B53="ALERTA","ALERTA","NO en listas negras"))</f>
        <v>NO en listas negras</v>
      </c>
      <c r="E18" s="49" t="s">
        <v>165</v>
      </c>
      <c r="F18">
        <f>IF(B54&gt;=330,100,IF(B54&gt;=300,80,IF(B54&gt;=270,72,IF(B54&gt;=240,68,IF(B54&gt;=220,64,IF(B54&gt;=200,40,IF(B54&gt;=180,10,IF(B54="",30,0))))))))</f>
        <v>68</v>
      </c>
      <c r="G18" s="2" t="s">
        <v>166</v>
      </c>
      <c r="I18" s="442" t="s">
        <v>403</v>
      </c>
      <c r="J18" s="23">
        <f>IF(B50&lt;0.025,100,IF(B50&lt;0.05,80,IF(B50&lt;0.075,50,IF(B50&lt;0.1,0,IF(B50&lt;0.15,-20,IF(B50&gt;0.25,-30,-40))))))</f>
        <v>-40</v>
      </c>
      <c r="N18" s="357">
        <f>(N11*0.025)+(N12*0.025)+(N13*0.3)+(N14*0.15)+(N15*0.15)+(N16*0.1)+(N17*0.25)</f>
        <v>54.5</v>
      </c>
    </row>
    <row r="19" spans="1:14" ht="15" thickTop="1" thickBot="1">
      <c r="A19" s="8" t="s">
        <v>136</v>
      </c>
      <c r="B19" s="319" t="str">
        <f>+C69</f>
        <v>Suficiente</v>
      </c>
      <c r="C19" s="320" t="str">
        <f>+B56</f>
        <v>NO FACHADA</v>
      </c>
      <c r="E19" s="8" t="str">
        <f>+A32</f>
        <v>CxP / Flujo Operativo</v>
      </c>
      <c r="F19" s="23">
        <f>IF(B32&lt;=0, -30, IF(B32&lt;1, 100, IF(B32&lt;2, 70, IF(B32&lt;3, 40, IF(B32&lt;5, 30, 0)))))</f>
        <v>100</v>
      </c>
      <c r="G19" s="385">
        <f>IF(B26&lt;0, -20, IF(B32&lt;1, 100, IF(B32&lt;2, 70, IF(B32&lt;3, 40, IF(B32&lt;5, 30, 0)))))</f>
        <v>100</v>
      </c>
      <c r="I19" s="49" t="s">
        <v>168</v>
      </c>
      <c r="J19">
        <f>IF(B51&lt;0.05,100,
IF(B51&lt;0.1,80,IF(B51&lt;0.2,50,IF(B51&lt;0.4,0,-40))))</f>
        <v>100</v>
      </c>
      <c r="L19" t="s">
        <v>169</v>
      </c>
    </row>
    <row r="20" spans="1:14" ht="15" thickTop="1" thickBot="1">
      <c r="A20" s="8" t="s">
        <v>156</v>
      </c>
      <c r="B20" s="321" t="str">
        <f>+B49</f>
        <v>OK</v>
      </c>
      <c r="C20" s="322" t="str">
        <f>+C66</f>
        <v>Buen Flujo</v>
      </c>
      <c r="F20" s="214">
        <f>(F18*0.7)+(F19*0.3)</f>
        <v>77.599999999999994</v>
      </c>
      <c r="G20" s="214">
        <f>(G19*1)</f>
        <v>100</v>
      </c>
      <c r="J20" s="215">
        <f>AVERAGE(J17,J18,J19)</f>
        <v>53.333333333333336</v>
      </c>
      <c r="L20" t="s">
        <v>102</v>
      </c>
      <c r="M20" t="s">
        <v>103</v>
      </c>
    </row>
    <row r="21" spans="1:14">
      <c r="L21" t="s">
        <v>150</v>
      </c>
      <c r="M21" t="s">
        <v>170</v>
      </c>
    </row>
    <row r="22" spans="1:14" ht="21.4" thickBot="1">
      <c r="A22" s="51" t="s">
        <v>171</v>
      </c>
      <c r="B22" s="52" t="s">
        <v>172</v>
      </c>
      <c r="D22" s="53"/>
      <c r="L22" t="s">
        <v>173</v>
      </c>
      <c r="M22" t="s">
        <v>170</v>
      </c>
    </row>
    <row r="23" spans="1:14" ht="14.65" thickBot="1">
      <c r="A23" s="55" t="s">
        <v>174</v>
      </c>
      <c r="B23" s="56" t="s">
        <v>175</v>
      </c>
      <c r="C23" s="56" t="s">
        <v>176</v>
      </c>
      <c r="D23" s="56" t="s">
        <v>177</v>
      </c>
      <c r="E23" s="56" t="s">
        <v>178</v>
      </c>
      <c r="L23" t="s">
        <v>179</v>
      </c>
      <c r="M23" t="s">
        <v>170</v>
      </c>
    </row>
    <row r="24" spans="1:14">
      <c r="A24" t="s">
        <v>180</v>
      </c>
      <c r="B24" s="358">
        <f>AVERAGE(C4:N4)</f>
        <v>3022744.6575000002</v>
      </c>
      <c r="C24" s="359">
        <f>AVERAGE(C4:AL4)</f>
        <v>1496086.2691666665</v>
      </c>
      <c r="D24" s="2" t="str">
        <f>IF(B24/B25&gt;1.5,"Bien",IF(B24/B25&gt;1.3,"Ok",IF(B24/B25&gt;1.2,"Revisar",IF(B24/B25&gt;1.15,"Muy Bajo","Alerta"))))</f>
        <v>Alerta</v>
      </c>
      <c r="E24" s="57" t="s">
        <v>181</v>
      </c>
      <c r="L24" t="s">
        <v>182</v>
      </c>
      <c r="M24" t="s">
        <v>183</v>
      </c>
    </row>
    <row r="25" spans="1:14">
      <c r="A25" t="s">
        <v>184</v>
      </c>
      <c r="B25" s="358">
        <f>AVERAGE(C5:N5)</f>
        <v>2875656.6333333342</v>
      </c>
      <c r="C25" s="359">
        <f>AVERAGE(C5:AL5)</f>
        <v>1475387.6538888887</v>
      </c>
      <c r="D25" s="53" t="str">
        <f>IF(B25/B24&lt;0.6,"Bien",IF(B25/B24&lt;0.76,"Ok",IF(B25/B24&lt;0.8,"Revisar",IF(B25/B24&lt;0.89,"Riesgo","Alerta"))))</f>
        <v>Alerta</v>
      </c>
      <c r="E25" s="57" t="s">
        <v>185</v>
      </c>
      <c r="L25" t="s">
        <v>186</v>
      </c>
      <c r="M25" t="s">
        <v>183</v>
      </c>
    </row>
    <row r="26" spans="1:14">
      <c r="A26" t="s">
        <v>187</v>
      </c>
      <c r="B26" s="358">
        <f>AVERAGE(C6:N6)</f>
        <v>443012.95916666667</v>
      </c>
      <c r="C26" s="359">
        <f>AVERAGE(C6:AL6)</f>
        <v>155595.43138888889</v>
      </c>
      <c r="D26" s="53" t="str">
        <f>IF(B26/B65&gt;2,"Bien",IF(B26/B65&gt;1.5,"Ok",IF(B26/B65&gt;1.2,"Revisión","Alerta")))</f>
        <v>Bien</v>
      </c>
      <c r="E26" s="57" t="s">
        <v>188</v>
      </c>
    </row>
    <row r="27" spans="1:14">
      <c r="A27" t="s">
        <v>189</v>
      </c>
      <c r="B27" s="359">
        <f>B26*IF(B26&gt;=0, B75, 1+(1-B75))</f>
        <v>310109.07141666667</v>
      </c>
      <c r="C27" s="359">
        <f>C26*IF(C26&gt;=0, B75, 1+(1-B75))</f>
        <v>108916.80197222221</v>
      </c>
      <c r="D27" s="2" t="str">
        <f>IF(B27/B65&gt;2,"Bien",IF(B27/B65&gt;1.5,"Ok",IF(B27/B65&gt;1.2,"Revisión","Alerta")))</f>
        <v>Bien</v>
      </c>
      <c r="E27" s="57" t="s">
        <v>190</v>
      </c>
    </row>
    <row r="28" spans="1:14">
      <c r="A28" t="s">
        <v>191</v>
      </c>
      <c r="B28" s="358">
        <f>AVERAGE(C7:N7)</f>
        <v>340697.8600000001</v>
      </c>
      <c r="C28" s="359">
        <f>AVERAGE(C7:AL7)</f>
        <v>142614.45500000007</v>
      </c>
      <c r="E28" s="9" t="s">
        <v>192</v>
      </c>
    </row>
    <row r="29" spans="1:14">
      <c r="A29" t="s">
        <v>193</v>
      </c>
      <c r="B29" s="358">
        <f>AVERAGE(C8:N8)</f>
        <v>189415.43583333332</v>
      </c>
      <c r="C29" s="359">
        <f>AVERAGE(C8:AL8)</f>
        <v>108972.24027777779</v>
      </c>
      <c r="E29" s="9" t="s">
        <v>194</v>
      </c>
    </row>
    <row r="30" spans="1:14">
      <c r="A30" t="s">
        <v>195</v>
      </c>
      <c r="B30" s="360">
        <f>+(B28/B24)*30</f>
        <v>3.3813427722516791</v>
      </c>
      <c r="C30" s="360">
        <f>+(C28/C24)*30</f>
        <v>2.8597506294761517</v>
      </c>
      <c r="D30" s="10" t="str">
        <f>+IF(B30&gt;B31,"Financia a Proveedores", "Proveedores la Financian")</f>
        <v>Financia a Proveedores</v>
      </c>
      <c r="E30" s="9" t="s">
        <v>196</v>
      </c>
    </row>
    <row r="31" spans="1:14">
      <c r="A31" t="s">
        <v>197</v>
      </c>
      <c r="B31" s="360">
        <f>+(B29/B25)*30</f>
        <v>1.9760575755573222</v>
      </c>
      <c r="C31" s="360">
        <f>+(C29/C25)*30</f>
        <v>2.2158021993178036</v>
      </c>
      <c r="D31" s="10" t="str">
        <f>+IF(B31&gt;B30,"Proveedores la Financian","Financia a Proveedores")</f>
        <v>Financia a Proveedores</v>
      </c>
      <c r="E31" s="9" t="s">
        <v>196</v>
      </c>
    </row>
    <row r="32" spans="1:14">
      <c r="A32" t="s">
        <v>198</v>
      </c>
      <c r="B32" s="208">
        <f>+((B29*4.5)/(B26*12))</f>
        <v>0.16033568988842464</v>
      </c>
      <c r="C32" s="208">
        <f>+(C29*4.5)/(C26*12)</f>
        <v>0.26263361166454413</v>
      </c>
      <c r="D32" s="59">
        <f>IF(B32&lt;=0,"ALERTA",(B29*4.5)/(B26*12))</f>
        <v>0.16033568988842464</v>
      </c>
      <c r="E32" s="57" t="s">
        <v>346</v>
      </c>
      <c r="I32" t="s">
        <v>199</v>
      </c>
    </row>
    <row r="33" spans="1:5">
      <c r="A33" t="s">
        <v>200</v>
      </c>
      <c r="B33" s="427"/>
      <c r="C33" s="360"/>
      <c r="E33" t="s">
        <v>201</v>
      </c>
    </row>
    <row r="34" spans="1:5">
      <c r="A34" t="s">
        <v>202</v>
      </c>
      <c r="B34" s="60">
        <f>(B26/B24)</f>
        <v>0.14655983530314673</v>
      </c>
      <c r="C34" s="60">
        <f>(C26/C24)</f>
        <v>0.10400164388618909</v>
      </c>
      <c r="D34" s="2">
        <f>IF(B34&lt;=0,"ALERTA",(B31*4.5)/(B28*12))</f>
        <v>2.1750109931245112E-6</v>
      </c>
      <c r="E34" s="57" t="s">
        <v>203</v>
      </c>
    </row>
    <row r="35" spans="1:5">
      <c r="A35" t="s">
        <v>362</v>
      </c>
      <c r="B35" s="381">
        <f>_xlfn.STDEV.P(C6:N6)</f>
        <v>749610.30189589795</v>
      </c>
      <c r="C35" s="381">
        <f>_xlfn.STDEV.P(C6:AL6)</f>
        <v>562938.89178596297</v>
      </c>
      <c r="E35" s="57" t="s">
        <v>204</v>
      </c>
    </row>
    <row r="36" spans="1:5">
      <c r="A36" t="s">
        <v>205</v>
      </c>
      <c r="B36" s="382">
        <f>ABS(B35/B26)</f>
        <v>1.692073079094478</v>
      </c>
      <c r="C36" s="366">
        <f>C35/C26</f>
        <v>3.617965429710956</v>
      </c>
      <c r="D36" s="57"/>
      <c r="E36" s="57" t="s">
        <v>370</v>
      </c>
    </row>
    <row r="37" spans="1:5">
      <c r="A37" t="s">
        <v>371</v>
      </c>
      <c r="B37" s="60">
        <f>(B35/B24)</f>
        <v>0.24798995179297506</v>
      </c>
      <c r="C37" s="60">
        <f>+(C35/C24)</f>
        <v>0.37627435221334193</v>
      </c>
      <c r="D37" s="2" t="str">
        <f>+IF(B37&lt;20%,"Estables",IF(B37&lt;40%,"Normal",IF(B37&gt;40%,"Volatil")))</f>
        <v>Normal</v>
      </c>
      <c r="E37" s="57" t="s">
        <v>207</v>
      </c>
    </row>
    <row r="38" spans="1:5">
      <c r="A38" t="s">
        <v>208</v>
      </c>
      <c r="B38" s="361">
        <f>COUNTIF(E4:P4,"&gt;0")</f>
        <v>12</v>
      </c>
      <c r="C38" s="362">
        <f>COUNTIF(E4:AN4,"&gt;0")</f>
        <v>28</v>
      </c>
      <c r="E38" s="57" t="s">
        <v>209</v>
      </c>
    </row>
    <row r="39" spans="1:5">
      <c r="A39" t="s">
        <v>210</v>
      </c>
      <c r="B39" s="363">
        <f>B38/12</f>
        <v>1</v>
      </c>
      <c r="C39" s="363">
        <f>C38/36</f>
        <v>0.77777777777777779</v>
      </c>
      <c r="D39" s="2" t="str">
        <f>+IF(B39&gt;90%,"Estable",IF(B39&gt;50%,"Intermitente",IF(B39&lt;50%,"Riesgoso")))</f>
        <v>Estable</v>
      </c>
      <c r="E39" s="57" t="s">
        <v>211</v>
      </c>
    </row>
    <row r="40" spans="1:5">
      <c r="A40" s="203"/>
      <c r="B40" s="204"/>
      <c r="C40" s="204"/>
      <c r="D40" s="205"/>
      <c r="E40" s="206"/>
    </row>
    <row r="41" spans="1:5">
      <c r="A41" t="s">
        <v>212</v>
      </c>
      <c r="B41" s="60">
        <f>AVERAGE(C4:H4)/AVERAGE(I4:N4)-1</f>
        <v>-1.3333403365832552E-2</v>
      </c>
      <c r="C41" s="60">
        <f>AVERAGE(C4:T4)/AVERAGE(U4:AL4)-1</f>
        <v>3.9843810294980297</v>
      </c>
      <c r="D41" s="59" t="str">
        <f>+IF(B41&gt;15%,"Bueno",IF(B41&gt;5%,"Estable",IF(B41&gt;1%,"Bajo",IF(B41&gt;-10%,"Alerta","Deterioro"))))</f>
        <v>Alerta</v>
      </c>
      <c r="E41" s="9" t="s">
        <v>213</v>
      </c>
    </row>
    <row r="42" spans="1:5" ht="14.65" thickBot="1">
      <c r="A42" s="23" t="s">
        <v>401</v>
      </c>
      <c r="B42" s="439">
        <f>AVERAGE(C5:H5)/AVERAGE(I5:N5)-1</f>
        <v>-0.22852715661507073</v>
      </c>
      <c r="C42" s="439">
        <f>AVERAGE(C5:T5)/AVERAGE(U5:AL5)-1</f>
        <v>2.7810853978675052</v>
      </c>
      <c r="D42" s="440">
        <f>IF(B42&gt;B41,-20,IF(B42&lt;0,100,IF(B42&lt;=B41*0.5,80,IF(B42&lt;=B41,60,30))))</f>
        <v>100</v>
      </c>
    </row>
    <row r="43" spans="1:5" ht="14.65" thickBot="1">
      <c r="A43" s="55" t="s">
        <v>214</v>
      </c>
      <c r="B43" s="61" t="s">
        <v>215</v>
      </c>
      <c r="C43" s="56" t="s">
        <v>178</v>
      </c>
      <c r="D43" s="411"/>
    </row>
    <row r="44" spans="1:5">
      <c r="A44" s="16" t="s">
        <v>216</v>
      </c>
      <c r="B44" s="62">
        <v>36</v>
      </c>
      <c r="C44" s="1" t="s">
        <v>217</v>
      </c>
    </row>
    <row r="45" spans="1:5">
      <c r="A45" s="3" t="s">
        <v>218</v>
      </c>
      <c r="B45" s="25">
        <v>36</v>
      </c>
      <c r="C45" s="1" t="s">
        <v>219</v>
      </c>
    </row>
    <row r="46" spans="1:5">
      <c r="A46" s="3" t="s">
        <v>220</v>
      </c>
      <c r="B46" s="25">
        <v>0</v>
      </c>
      <c r="C46" s="1" t="s">
        <v>221</v>
      </c>
    </row>
    <row r="47" spans="1:5">
      <c r="A47" s="3" t="s">
        <v>222</v>
      </c>
      <c r="B47" s="4" t="str">
        <f>IF(B46=1,"RECHAZAR","NO")</f>
        <v>NO</v>
      </c>
      <c r="C47" s="1" t="s">
        <v>223</v>
      </c>
    </row>
    <row r="48" spans="1:5">
      <c r="A48" s="3" t="s">
        <v>224</v>
      </c>
      <c r="B48" s="65">
        <v>1264</v>
      </c>
      <c r="C48" s="1" t="s">
        <v>225</v>
      </c>
    </row>
    <row r="49" spans="1:4">
      <c r="A49" s="3" t="s">
        <v>226</v>
      </c>
      <c r="B49" s="451" t="str">
        <f>IF(B48&gt;1500,"ALERTA CONCENTRACION","OK")</f>
        <v>OK</v>
      </c>
      <c r="C49" s="1" t="s">
        <v>227</v>
      </c>
    </row>
    <row r="50" spans="1:4">
      <c r="A50" s="443" t="s">
        <v>403</v>
      </c>
      <c r="B50" s="450">
        <v>0.16</v>
      </c>
      <c r="C50" s="1" t="s">
        <v>229</v>
      </c>
    </row>
    <row r="51" spans="1:4">
      <c r="A51" s="3" t="s">
        <v>230</v>
      </c>
      <c r="B51" s="452">
        <v>6.4400000000000004E-3</v>
      </c>
      <c r="C51" s="1" t="s">
        <v>231</v>
      </c>
    </row>
    <row r="52" spans="1:4">
      <c r="A52" s="3" t="s">
        <v>232</v>
      </c>
      <c r="B52" s="67">
        <v>0.08</v>
      </c>
      <c r="C52" s="1" t="s">
        <v>233</v>
      </c>
    </row>
    <row r="53" spans="1:4">
      <c r="A53" s="3" t="s">
        <v>234</v>
      </c>
      <c r="B53" s="68" t="str">
        <f>IF(B52&gt;0.2,"ALERTA","OK")</f>
        <v>OK</v>
      </c>
      <c r="C53" s="1" t="s">
        <v>177</v>
      </c>
    </row>
    <row r="54" spans="1:4">
      <c r="A54" s="3" t="s">
        <v>235</v>
      </c>
      <c r="B54" s="69">
        <v>266</v>
      </c>
      <c r="C54" s="1" t="s">
        <v>372</v>
      </c>
    </row>
    <row r="55" spans="1:4">
      <c r="A55" s="3" t="s">
        <v>236</v>
      </c>
      <c r="B55" s="68" t="str">
        <f>IF(B54&gt;175,"NO",IF(B54="","Sin Buró","RECHAZAR"))</f>
        <v>NO</v>
      </c>
      <c r="C55" s="1" t="s">
        <v>177</v>
      </c>
    </row>
    <row r="56" spans="1:4" ht="14.65" thickBot="1">
      <c r="A56" s="6" t="s">
        <v>237</v>
      </c>
      <c r="B56" s="317" t="str">
        <f>IF(AND(B52&gt;0.1, B41&gt;0.5, B48&gt;3500),"Fachada RECHAZAR","NO FACHADA")</f>
        <v>NO FACHADA</v>
      </c>
      <c r="C56" s="1" t="s">
        <v>238</v>
      </c>
    </row>
    <row r="57" spans="1:4" ht="14.65" thickBot="1">
      <c r="A57" s="3" t="s">
        <v>239</v>
      </c>
      <c r="B57" s="69">
        <v>574</v>
      </c>
    </row>
    <row r="58" spans="1:4" ht="14.65" thickBot="1">
      <c r="A58" s="412" t="s">
        <v>240</v>
      </c>
      <c r="B58" s="413"/>
      <c r="C58" s="56" t="s">
        <v>177</v>
      </c>
      <c r="D58" s="56" t="s">
        <v>178</v>
      </c>
    </row>
    <row r="59" spans="1:4">
      <c r="A59" s="16" t="s">
        <v>241</v>
      </c>
      <c r="B59" s="70">
        <f>551900+0+12678.41</f>
        <v>564578.41</v>
      </c>
      <c r="D59" s="1" t="s">
        <v>242</v>
      </c>
    </row>
    <row r="60" spans="1:4">
      <c r="A60" s="3" t="s">
        <v>243</v>
      </c>
      <c r="B60" s="71">
        <v>88000</v>
      </c>
      <c r="D60" s="1" t="s">
        <v>244</v>
      </c>
    </row>
    <row r="61" spans="1:4">
      <c r="A61" s="3" t="s">
        <v>245</v>
      </c>
      <c r="B61" s="71">
        <v>118943.97</v>
      </c>
      <c r="D61" s="1" t="s">
        <v>245</v>
      </c>
    </row>
    <row r="62" spans="1:4">
      <c r="A62" s="3" t="s">
        <v>246</v>
      </c>
      <c r="B62" s="251">
        <f>B59-B60</f>
        <v>476578.41000000003</v>
      </c>
      <c r="D62" s="1" t="s">
        <v>247</v>
      </c>
    </row>
    <row r="63" spans="1:4">
      <c r="A63" s="3" t="s">
        <v>248</v>
      </c>
      <c r="B63" s="25">
        <v>48</v>
      </c>
    </row>
    <row r="64" spans="1:4">
      <c r="A64" s="3" t="s">
        <v>83</v>
      </c>
      <c r="B64" s="72">
        <f>+IF(B63&lt;24,30.2%,IF(B63&lt;36,26%,IF(B63&lt;48,24.55%,IF(B63&lt;60,23.82%,"0%"))))</f>
        <v>0.2382</v>
      </c>
      <c r="D64" s="73"/>
    </row>
    <row r="65" spans="1:13">
      <c r="A65" s="3" t="s">
        <v>249</v>
      </c>
      <c r="B65" s="216">
        <f>+PMT(B64/12,B63,-B62,B61)</f>
        <v>13985.017239869379</v>
      </c>
      <c r="C65" s="2" t="str">
        <f>IF(B66/B65&gt;2,"Bien",IF(B66/B65&gt;1.5,"Ok",IF(B66/B65&gt;1.2,"Alerta","Le falta Flujo")))</f>
        <v>Bien</v>
      </c>
      <c r="D65" s="1" t="s">
        <v>250</v>
      </c>
    </row>
    <row r="66" spans="1:13">
      <c r="A66" s="3" t="s">
        <v>189</v>
      </c>
      <c r="B66" s="216">
        <f>B27</f>
        <v>310109.07141666667</v>
      </c>
      <c r="C66" s="2" t="str">
        <f>IF(B27/B65&gt;2,"Buen Flujo",IF(B27/B65&gt;1.5,"Ok Flujo",IF(B27/B65&gt;1.1,"Flujo muy Justo","Flujo Insuficiente")))</f>
        <v>Buen Flujo</v>
      </c>
      <c r="D66" s="1" t="s">
        <v>251</v>
      </c>
    </row>
    <row r="67" spans="1:13">
      <c r="A67" s="3" t="s">
        <v>252</v>
      </c>
      <c r="B67" s="364">
        <f>+(B66/B65)</f>
        <v>22.17437891550022</v>
      </c>
      <c r="C67" s="2" t="str">
        <f>+IF(B67&gt;1.5,"Comodo",IF(B67&gt;1.1,"Aceptable",IF(B67&lt;1.1,"Rechazo")))</f>
        <v>Comodo</v>
      </c>
      <c r="D67" t="s">
        <v>374</v>
      </c>
    </row>
    <row r="68" spans="1:13">
      <c r="A68" s="3" t="s">
        <v>253</v>
      </c>
      <c r="B68" s="4">
        <f>IF(B63&lt;=24,$B$584,IF(B63&lt;=36,$B$585,IF(B63&lt;=48,$B$586,$B$587)))</f>
        <v>2.5</v>
      </c>
      <c r="D68" t="s">
        <v>254</v>
      </c>
    </row>
    <row r="69" spans="1:13">
      <c r="A69" s="3" t="s">
        <v>255</v>
      </c>
      <c r="B69" s="365"/>
      <c r="C69" s="4" t="str">
        <f>IF(B67&gt;B68,"Suficiente",IF(B67&lt;1,"Negativo","AVAL"))</f>
        <v>Suficiente</v>
      </c>
      <c r="D69" t="s">
        <v>256</v>
      </c>
    </row>
    <row r="70" spans="1:13">
      <c r="A70" s="3" t="s">
        <v>257</v>
      </c>
      <c r="B70" s="72">
        <f>+B59/SUM(D4:O4)</f>
        <v>1.5385065349689302E-2</v>
      </c>
      <c r="C70" s="2" t="str">
        <f>IF(B70&lt;0.1,"Excelente",IF(B70&lt;0.2,"Bien",IF(B70&lt;0.3,"Ok",IF(B70&lt;0.6,"Revisar",IF(B70&lt;0.9,"Alerta","Sobrepasado")))))</f>
        <v>Excelente</v>
      </c>
      <c r="D70" t="s">
        <v>375</v>
      </c>
    </row>
    <row r="71" spans="1:13">
      <c r="A71" s="3" t="s">
        <v>258</v>
      </c>
      <c r="B71" s="216">
        <f>B66/B68</f>
        <v>124043.62856666667</v>
      </c>
      <c r="C71" s="74" t="str">
        <f>IF(B71/B65&gt;4,"Ok",IF(B71/B65&gt;2,"OK",IF((B71/B65)&gt;1.2,"Renta con Riesgo",IF(B71/B65&lt;1.1,"No Otorgar"))))</f>
        <v>Ok</v>
      </c>
      <c r="D71" t="s">
        <v>259</v>
      </c>
      <c r="G71">
        <f>+B71/B65</f>
        <v>8.8697515662000885</v>
      </c>
    </row>
    <row r="72" spans="1:13" ht="14.65" thickBot="1">
      <c r="A72" s="6" t="s">
        <v>260</v>
      </c>
      <c r="B72" s="445">
        <f>IF(B66&lt;0, 0, PV(B64/12,B63,-B71))</f>
        <v>3816444.6078614481</v>
      </c>
      <c r="C72" s="2" t="str">
        <f>+IF(B72/B59&gt;1,"Otorgar",IF(B72/B59&gt;0.75,"Revision","No Otorgar"))</f>
        <v>Otorgar</v>
      </c>
      <c r="D72" t="s">
        <v>261</v>
      </c>
    </row>
    <row r="73" spans="1:13" ht="14.65" thickBot="1"/>
    <row r="74" spans="1:13">
      <c r="A74" s="47" t="s">
        <v>262</v>
      </c>
      <c r="B74" s="48" t="s">
        <v>263</v>
      </c>
    </row>
    <row r="75" spans="1:13">
      <c r="A75" s="24" t="s">
        <v>264</v>
      </c>
      <c r="B75" s="25">
        <v>0.7</v>
      </c>
      <c r="M75" t="s">
        <v>265</v>
      </c>
    </row>
    <row r="76" spans="1:13">
      <c r="A76" s="24" t="s">
        <v>80</v>
      </c>
      <c r="B76" s="25">
        <v>3</v>
      </c>
      <c r="D76" t="s">
        <v>254</v>
      </c>
    </row>
    <row r="77" spans="1:13">
      <c r="A77" s="24" t="s">
        <v>85</v>
      </c>
      <c r="B77" s="25">
        <v>2.75</v>
      </c>
      <c r="D77" t="s">
        <v>254</v>
      </c>
    </row>
    <row r="78" spans="1:13">
      <c r="A78" s="24" t="s">
        <v>87</v>
      </c>
      <c r="B78" s="25">
        <v>2.5</v>
      </c>
      <c r="D78" t="s">
        <v>254</v>
      </c>
    </row>
    <row r="79" spans="1:13">
      <c r="A79" s="24" t="s">
        <v>88</v>
      </c>
      <c r="B79" s="25">
        <v>2.25</v>
      </c>
      <c r="D79" t="s">
        <v>254</v>
      </c>
    </row>
    <row r="80" spans="1:13">
      <c r="A80" s="24" t="s">
        <v>266</v>
      </c>
      <c r="B80" s="25">
        <v>6</v>
      </c>
      <c r="D80" t="s">
        <v>267</v>
      </c>
    </row>
    <row r="81" spans="1:39">
      <c r="A81" s="24" t="s">
        <v>268</v>
      </c>
      <c r="B81" s="25">
        <v>-10</v>
      </c>
      <c r="D81" t="s">
        <v>269</v>
      </c>
    </row>
    <row r="82" spans="1:39" ht="14.65" thickBot="1">
      <c r="A82" s="50" t="s">
        <v>270</v>
      </c>
      <c r="B82" s="75">
        <v>-30</v>
      </c>
      <c r="D82" t="s">
        <v>271</v>
      </c>
    </row>
    <row r="83" spans="1:39">
      <c r="A83" s="47"/>
      <c r="B83" s="48"/>
    </row>
    <row r="84" spans="1:39" ht="14.65" thickBot="1"/>
    <row r="85" spans="1:39" ht="27" thickBot="1">
      <c r="A85" s="453" t="s">
        <v>412</v>
      </c>
      <c r="B85" s="454"/>
      <c r="C85" s="454"/>
      <c r="D85" s="454"/>
      <c r="E85" s="454"/>
      <c r="F85" s="388"/>
      <c r="G85" s="388"/>
      <c r="H85" s="389"/>
      <c r="I85" s="386"/>
      <c r="J85" s="386"/>
      <c r="K85" s="386"/>
      <c r="L85" s="386"/>
      <c r="M85" s="386"/>
      <c r="N85" s="386"/>
      <c r="O85" s="386"/>
      <c r="P85" s="386"/>
      <c r="Q85" s="386"/>
      <c r="R85" s="386"/>
      <c r="S85" s="386"/>
      <c r="T85" s="386"/>
      <c r="U85" s="386"/>
      <c r="V85" s="386"/>
      <c r="W85" s="386"/>
      <c r="X85" s="386"/>
      <c r="Y85" s="386"/>
      <c r="Z85" s="386"/>
      <c r="AA85" s="386"/>
      <c r="AB85" s="386"/>
      <c r="AC85" s="386"/>
      <c r="AD85" s="386"/>
      <c r="AE85" s="386"/>
      <c r="AF85" s="386"/>
      <c r="AG85" s="386"/>
      <c r="AH85" s="386"/>
      <c r="AI85" s="386"/>
      <c r="AJ85" s="386"/>
      <c r="AK85" s="386"/>
      <c r="AL85" s="390"/>
    </row>
    <row r="86" spans="1:39" ht="14.65" thickBot="1">
      <c r="A86" s="30" t="s">
        <v>131</v>
      </c>
      <c r="C86" s="31">
        <v>46143</v>
      </c>
      <c r="D86" s="31">
        <v>46113</v>
      </c>
      <c r="E86" s="31">
        <v>46054</v>
      </c>
      <c r="F86" s="31">
        <f>+E86-1</f>
        <v>46053</v>
      </c>
      <c r="G86" s="31">
        <f>+F86-1</f>
        <v>46052</v>
      </c>
      <c r="H86" s="31">
        <f t="shared" ref="H86" si="31">+G86-1</f>
        <v>46051</v>
      </c>
      <c r="I86" s="31">
        <f t="shared" ref="I86" si="32">+H86-1</f>
        <v>46050</v>
      </c>
      <c r="J86" s="31">
        <f t="shared" ref="J86" si="33">+I86-1</f>
        <v>46049</v>
      </c>
      <c r="K86" s="31">
        <f t="shared" ref="K86" si="34">+J86-1</f>
        <v>46048</v>
      </c>
      <c r="L86" s="31">
        <f t="shared" ref="L86" si="35">+K86-1</f>
        <v>46047</v>
      </c>
      <c r="M86" s="31">
        <f t="shared" ref="M86" si="36">+L86-1</f>
        <v>46046</v>
      </c>
      <c r="N86" s="31">
        <f t="shared" ref="N86" si="37">+M86-1</f>
        <v>46045</v>
      </c>
      <c r="O86" s="31">
        <f t="shared" ref="O86" si="38">+N86-1</f>
        <v>46044</v>
      </c>
      <c r="P86" s="31">
        <f t="shared" ref="P86" si="39">+O86-1</f>
        <v>46043</v>
      </c>
      <c r="Q86" s="31">
        <f t="shared" ref="Q86" si="40">+P86-1</f>
        <v>46042</v>
      </c>
      <c r="R86" s="31">
        <f t="shared" ref="R86" si="41">+Q86-1</f>
        <v>46041</v>
      </c>
      <c r="S86" s="31">
        <f t="shared" ref="S86" si="42">+R86-1</f>
        <v>46040</v>
      </c>
      <c r="T86" s="31">
        <f t="shared" ref="T86" si="43">+S86-1</f>
        <v>46039</v>
      </c>
      <c r="U86" s="31">
        <f t="shared" ref="U86" si="44">+T86-1</f>
        <v>46038</v>
      </c>
      <c r="V86" s="31">
        <f t="shared" ref="V86" si="45">+U86-1</f>
        <v>46037</v>
      </c>
      <c r="W86" s="31">
        <f t="shared" ref="W86" si="46">+V86-1</f>
        <v>46036</v>
      </c>
      <c r="X86" s="31">
        <f t="shared" ref="X86" si="47">+W86-1</f>
        <v>46035</v>
      </c>
      <c r="Y86" s="31">
        <f t="shared" ref="Y86" si="48">+X86-1</f>
        <v>46034</v>
      </c>
      <c r="Z86" s="31">
        <f t="shared" ref="Z86" si="49">+Y86-1</f>
        <v>46033</v>
      </c>
      <c r="AA86" s="31">
        <f t="shared" ref="AA86" si="50">+Z86-1</f>
        <v>46032</v>
      </c>
      <c r="AB86" s="31">
        <f t="shared" ref="AB86" si="51">+AA86-1</f>
        <v>46031</v>
      </c>
      <c r="AC86" s="31">
        <f t="shared" ref="AC86" si="52">+AB86-1</f>
        <v>46030</v>
      </c>
      <c r="AD86" s="31">
        <f t="shared" ref="AD86" si="53">+AC86-1</f>
        <v>46029</v>
      </c>
      <c r="AE86" s="31">
        <f t="shared" ref="AE86" si="54">+AD86-1</f>
        <v>46028</v>
      </c>
      <c r="AF86" s="31">
        <f t="shared" ref="AF86" si="55">+AE86-1</f>
        <v>46027</v>
      </c>
      <c r="AG86" s="31">
        <f t="shared" ref="AG86" si="56">+AF86-1</f>
        <v>46026</v>
      </c>
      <c r="AH86" s="31">
        <f t="shared" ref="AH86" si="57">+AG86-1</f>
        <v>46025</v>
      </c>
      <c r="AI86" s="31">
        <f t="shared" ref="AI86" si="58">+AH86-1</f>
        <v>46024</v>
      </c>
      <c r="AJ86" s="31">
        <f t="shared" ref="AJ86" si="59">+AI86-1</f>
        <v>46023</v>
      </c>
      <c r="AK86" s="31">
        <f t="shared" ref="AK86" si="60">+AJ86-1</f>
        <v>46022</v>
      </c>
      <c r="AL86" s="31">
        <f t="shared" ref="AL86" si="61">+AK86-1</f>
        <v>46021</v>
      </c>
    </row>
    <row r="87" spans="1:39" ht="14.65" thickBot="1">
      <c r="A87" s="32" t="s">
        <v>132</v>
      </c>
      <c r="C87" s="33">
        <v>1</v>
      </c>
      <c r="D87" s="34">
        <v>2</v>
      </c>
      <c r="E87" s="34">
        <v>3</v>
      </c>
      <c r="F87" s="34">
        <v>4</v>
      </c>
      <c r="G87" s="34">
        <v>5</v>
      </c>
      <c r="H87" s="34">
        <v>6</v>
      </c>
      <c r="I87" s="34">
        <v>7</v>
      </c>
      <c r="J87" s="34">
        <v>8</v>
      </c>
      <c r="K87" s="34">
        <v>9</v>
      </c>
      <c r="L87" s="34">
        <v>10</v>
      </c>
      <c r="M87" s="34">
        <v>11</v>
      </c>
      <c r="N87" s="34">
        <v>12</v>
      </c>
      <c r="O87" s="34">
        <v>13</v>
      </c>
      <c r="P87" s="34">
        <v>14</v>
      </c>
      <c r="Q87" s="34">
        <v>15</v>
      </c>
      <c r="R87" s="34">
        <v>16</v>
      </c>
      <c r="S87" s="34">
        <v>17</v>
      </c>
      <c r="T87" s="34">
        <v>18</v>
      </c>
      <c r="U87" s="34">
        <v>19</v>
      </c>
      <c r="V87" s="34">
        <v>20</v>
      </c>
      <c r="W87" s="34">
        <v>21</v>
      </c>
      <c r="X87" s="34">
        <v>22</v>
      </c>
      <c r="Y87" s="34">
        <v>23</v>
      </c>
      <c r="Z87" s="34">
        <v>24</v>
      </c>
      <c r="AA87" s="34">
        <v>25</v>
      </c>
      <c r="AB87" s="34">
        <v>26</v>
      </c>
      <c r="AC87" s="34">
        <v>27</v>
      </c>
      <c r="AD87" s="34">
        <v>28</v>
      </c>
      <c r="AE87" s="34">
        <v>29</v>
      </c>
      <c r="AF87" s="34">
        <v>30</v>
      </c>
      <c r="AG87" s="34">
        <v>31</v>
      </c>
      <c r="AH87" s="34">
        <v>32</v>
      </c>
      <c r="AI87" s="34">
        <v>33</v>
      </c>
      <c r="AJ87" s="34">
        <v>34</v>
      </c>
      <c r="AK87" s="34">
        <v>35</v>
      </c>
      <c r="AL87" s="35">
        <v>36</v>
      </c>
      <c r="AM87">
        <v>37</v>
      </c>
    </row>
    <row r="88" spans="1:39" ht="14.25" customHeight="1">
      <c r="A88" s="36" t="s">
        <v>133</v>
      </c>
      <c r="B88" s="418" t="s">
        <v>134</v>
      </c>
      <c r="C88">
        <v>2351607.16</v>
      </c>
      <c r="D88">
        <v>1538508</v>
      </c>
      <c r="E88">
        <v>2539641.4900000002</v>
      </c>
      <c r="F88">
        <v>1121725</v>
      </c>
      <c r="G88">
        <v>1128536.5</v>
      </c>
      <c r="H88">
        <v>3149649.46</v>
      </c>
      <c r="I88">
        <v>1661472.16</v>
      </c>
      <c r="J88">
        <v>2374821.0099999998</v>
      </c>
      <c r="K88">
        <v>319365.82</v>
      </c>
      <c r="L88">
        <v>841962.76</v>
      </c>
      <c r="M88">
        <v>2567971.06</v>
      </c>
      <c r="N88">
        <v>2970853.96</v>
      </c>
      <c r="O88">
        <v>2704390.36</v>
      </c>
      <c r="P88">
        <v>1399116.16</v>
      </c>
      <c r="Q88">
        <v>1415202.66</v>
      </c>
      <c r="R88">
        <v>1119096.1000000001</v>
      </c>
      <c r="S88">
        <v>921352.46</v>
      </c>
      <c r="T88">
        <v>2782837.68</v>
      </c>
      <c r="U88">
        <v>2133676.7799999998</v>
      </c>
      <c r="V88">
        <v>1303578.3</v>
      </c>
      <c r="W88">
        <v>2254601.36</v>
      </c>
      <c r="X88">
        <v>1310821</v>
      </c>
      <c r="Y88">
        <v>821700.3</v>
      </c>
      <c r="Z88">
        <v>1254885</v>
      </c>
      <c r="AA88">
        <v>792503.26</v>
      </c>
      <c r="AB88">
        <v>1020532.2</v>
      </c>
      <c r="AC88">
        <v>792473.59999999998</v>
      </c>
      <c r="AD88">
        <v>1298935.5</v>
      </c>
      <c r="AE88">
        <v>767504.2</v>
      </c>
      <c r="AF88">
        <v>426741.1</v>
      </c>
      <c r="AG88">
        <v>2847645.36</v>
      </c>
      <c r="AH88">
        <v>999365.7</v>
      </c>
      <c r="AI88">
        <v>838233.59999999998</v>
      </c>
      <c r="AJ88">
        <v>780809.9</v>
      </c>
      <c r="AK88">
        <v>883556.42</v>
      </c>
      <c r="AL88">
        <v>898044.4</v>
      </c>
    </row>
    <row r="89" spans="1:39">
      <c r="A89" s="36" t="s">
        <v>135</v>
      </c>
      <c r="B89" s="419"/>
      <c r="C89">
        <v>1709760.44</v>
      </c>
      <c r="D89">
        <v>1414359.99</v>
      </c>
      <c r="E89">
        <v>1014170.3</v>
      </c>
      <c r="F89">
        <v>1354466.77</v>
      </c>
      <c r="G89">
        <v>1075239.3899999999</v>
      </c>
      <c r="H89">
        <v>1135347.6100000001</v>
      </c>
      <c r="I89">
        <v>1010880.23</v>
      </c>
      <c r="J89">
        <v>1206748.08</v>
      </c>
      <c r="K89">
        <v>2116360.21</v>
      </c>
      <c r="L89">
        <v>1291139.32</v>
      </c>
      <c r="M89">
        <v>1003366.23</v>
      </c>
      <c r="N89">
        <v>1352180.4</v>
      </c>
      <c r="O89">
        <v>1242888.47</v>
      </c>
      <c r="P89">
        <v>1391832.84</v>
      </c>
      <c r="Q89">
        <v>1686740.69</v>
      </c>
      <c r="R89">
        <v>984774.8</v>
      </c>
      <c r="S89">
        <v>792269.49</v>
      </c>
      <c r="T89">
        <v>788650.23</v>
      </c>
      <c r="U89">
        <v>856934.8</v>
      </c>
      <c r="V89">
        <v>828398.87</v>
      </c>
      <c r="W89">
        <v>707699.21</v>
      </c>
      <c r="X89">
        <v>863845.24</v>
      </c>
      <c r="Y89">
        <v>1001067.7</v>
      </c>
      <c r="Z89">
        <v>1152791.6000000001</v>
      </c>
      <c r="AA89">
        <v>678546.36</v>
      </c>
      <c r="AB89">
        <v>750231.67</v>
      </c>
      <c r="AC89">
        <v>870904.56</v>
      </c>
      <c r="AD89">
        <v>924046.01</v>
      </c>
      <c r="AE89">
        <v>590554.03</v>
      </c>
      <c r="AF89">
        <v>455564.65</v>
      </c>
      <c r="AG89">
        <v>829887.82</v>
      </c>
      <c r="AH89">
        <v>985150.55</v>
      </c>
      <c r="AI89">
        <v>698931.85</v>
      </c>
      <c r="AJ89">
        <v>692904.76</v>
      </c>
      <c r="AK89">
        <v>668727.96</v>
      </c>
      <c r="AL89">
        <v>558886.02</v>
      </c>
    </row>
    <row r="90" spans="1:39">
      <c r="A90" s="36" t="s">
        <v>136</v>
      </c>
      <c r="B90" s="419"/>
      <c r="C90">
        <v>77307.13</v>
      </c>
      <c r="D90">
        <v>36395.629999999997</v>
      </c>
      <c r="E90">
        <v>539405</v>
      </c>
      <c r="F90">
        <v>36702</v>
      </c>
      <c r="G90">
        <v>238504.75</v>
      </c>
      <c r="H90">
        <v>-751523.19</v>
      </c>
      <c r="I90">
        <v>1545171.25</v>
      </c>
      <c r="J90">
        <v>1008013.5</v>
      </c>
      <c r="K90">
        <v>-1050516.1299999999</v>
      </c>
      <c r="L90">
        <v>1077149.25</v>
      </c>
      <c r="M90">
        <v>1362541.25</v>
      </c>
      <c r="N90">
        <v>63621</v>
      </c>
      <c r="O90">
        <v>48636.38</v>
      </c>
      <c r="P90">
        <v>-390453.75</v>
      </c>
      <c r="Q90">
        <v>394723.13</v>
      </c>
      <c r="R90">
        <v>2935005.38</v>
      </c>
      <c r="S90">
        <v>586866.68999999994</v>
      </c>
      <c r="T90">
        <v>914238.06</v>
      </c>
      <c r="U90">
        <v>779462.88</v>
      </c>
      <c r="V90">
        <v>207948</v>
      </c>
      <c r="W90">
        <v>438086.06</v>
      </c>
      <c r="X90">
        <v>140826.25</v>
      </c>
      <c r="Y90">
        <v>204219.13</v>
      </c>
      <c r="Z90">
        <v>-138669.56</v>
      </c>
      <c r="AA90">
        <v>-185447.84</v>
      </c>
      <c r="AB90">
        <v>109784.06</v>
      </c>
      <c r="AC90">
        <v>976537.88</v>
      </c>
      <c r="AD90">
        <v>798507.38</v>
      </c>
      <c r="AE90">
        <v>526325.75</v>
      </c>
      <c r="AF90">
        <v>410161.44</v>
      </c>
      <c r="AG90">
        <v>-789329.75</v>
      </c>
      <c r="AH90">
        <v>-880166.34</v>
      </c>
      <c r="AI90">
        <v>-696702.26</v>
      </c>
      <c r="AJ90">
        <v>-875650.45</v>
      </c>
      <c r="AK90">
        <v>-472031.13</v>
      </c>
      <c r="AL90">
        <v>-485113.84</v>
      </c>
    </row>
    <row r="91" spans="1:39">
      <c r="A91" s="36" t="s">
        <v>137</v>
      </c>
      <c r="B91" s="419"/>
      <c r="C91">
        <v>1202082.48</v>
      </c>
      <c r="D91">
        <v>692227.1</v>
      </c>
      <c r="E91">
        <v>980504.76</v>
      </c>
      <c r="F91">
        <v>531645.98</v>
      </c>
      <c r="G91">
        <v>344396.46</v>
      </c>
      <c r="H91">
        <v>1592507.16</v>
      </c>
      <c r="I91">
        <v>230511.14</v>
      </c>
      <c r="J91">
        <v>87864.78</v>
      </c>
      <c r="K91">
        <v>126518.88</v>
      </c>
      <c r="L91">
        <v>77228.740000000005</v>
      </c>
      <c r="M91">
        <v>1088192.8700000001</v>
      </c>
      <c r="N91">
        <v>499938.4</v>
      </c>
      <c r="O91">
        <v>1107279.8600000001</v>
      </c>
      <c r="P91">
        <v>755891.38</v>
      </c>
      <c r="Q91">
        <v>531718.17000000004</v>
      </c>
      <c r="R91">
        <v>107435.14</v>
      </c>
      <c r="S91">
        <v>58954.68</v>
      </c>
      <c r="T91">
        <v>32879.620000000003</v>
      </c>
      <c r="U91">
        <v>30008.04</v>
      </c>
      <c r="V91">
        <v>37019.08</v>
      </c>
      <c r="W91">
        <v>697824.78</v>
      </c>
      <c r="X91">
        <v>6229.55</v>
      </c>
      <c r="Y91">
        <v>9735.2999999999993</v>
      </c>
      <c r="Z91">
        <v>582300.28</v>
      </c>
      <c r="AA91">
        <v>33525.74</v>
      </c>
      <c r="AB91">
        <v>239959.36</v>
      </c>
      <c r="AC91">
        <v>98724.23</v>
      </c>
      <c r="AD91">
        <v>32566.76</v>
      </c>
      <c r="AE91">
        <v>7429.8</v>
      </c>
      <c r="AF91">
        <v>0.6</v>
      </c>
      <c r="AG91">
        <v>420133.86</v>
      </c>
      <c r="AH91">
        <v>495429.39</v>
      </c>
      <c r="AI91">
        <v>916582.81</v>
      </c>
      <c r="AJ91">
        <v>725188.96</v>
      </c>
      <c r="AK91">
        <v>962722.7</v>
      </c>
      <c r="AL91">
        <v>900415.66</v>
      </c>
    </row>
    <row r="92" spans="1:39" ht="14.65" thickBot="1">
      <c r="A92" s="44" t="s">
        <v>138</v>
      </c>
      <c r="B92" s="420"/>
      <c r="C92">
        <v>299155.92</v>
      </c>
      <c r="D92">
        <v>2668.01</v>
      </c>
      <c r="E92">
        <v>4683.78</v>
      </c>
      <c r="F92">
        <v>2668.01</v>
      </c>
      <c r="G92">
        <v>2668.01</v>
      </c>
      <c r="H92">
        <v>2668.01</v>
      </c>
      <c r="I92">
        <v>11252.01</v>
      </c>
      <c r="J92">
        <v>60067.46</v>
      </c>
      <c r="K92">
        <v>2668.01</v>
      </c>
      <c r="L92">
        <v>2668.01</v>
      </c>
      <c r="M92">
        <v>2668.01</v>
      </c>
      <c r="N92">
        <v>2668.01</v>
      </c>
      <c r="O92">
        <v>22475.7</v>
      </c>
      <c r="P92">
        <v>3649.57</v>
      </c>
      <c r="Q92">
        <v>12667.01</v>
      </c>
      <c r="R92">
        <v>52965.61</v>
      </c>
      <c r="S92">
        <v>2668.01</v>
      </c>
      <c r="T92">
        <v>4414.3100000000004</v>
      </c>
      <c r="U92">
        <v>2540.41</v>
      </c>
      <c r="V92">
        <v>2540.41</v>
      </c>
      <c r="W92">
        <v>2540.41</v>
      </c>
      <c r="X92">
        <v>11040.41</v>
      </c>
      <c r="Y92">
        <v>1496.41</v>
      </c>
      <c r="Z92">
        <v>5740.55</v>
      </c>
      <c r="AA92">
        <v>1496.41</v>
      </c>
      <c r="AB92">
        <v>1496.41</v>
      </c>
      <c r="AC92">
        <v>2322.5700000000002</v>
      </c>
      <c r="AD92">
        <v>0</v>
      </c>
      <c r="AE92">
        <v>6735.41</v>
      </c>
      <c r="AF92">
        <v>2911.6</v>
      </c>
      <c r="AG92">
        <v>1415.2</v>
      </c>
      <c r="AH92">
        <v>60000</v>
      </c>
      <c r="AI92">
        <v>1995.2</v>
      </c>
      <c r="AJ92">
        <v>11096.88</v>
      </c>
      <c r="AK92">
        <v>46574.2</v>
      </c>
      <c r="AL92">
        <v>28076.66</v>
      </c>
    </row>
    <row r="93" spans="1:39" ht="14.65" thickBot="1"/>
    <row r="94" spans="1:39">
      <c r="A94" s="47" t="s">
        <v>139</v>
      </c>
      <c r="B94" s="48" t="s">
        <v>140</v>
      </c>
      <c r="C94" t="s">
        <v>141</v>
      </c>
      <c r="E94" s="455" t="s">
        <v>142</v>
      </c>
      <c r="F94" s="455"/>
      <c r="I94" s="414" t="s">
        <v>143</v>
      </c>
      <c r="J94" s="414"/>
      <c r="M94" s="415" t="s">
        <v>144</v>
      </c>
      <c r="N94" s="415"/>
    </row>
    <row r="95" spans="1:39">
      <c r="A95" s="24" t="s">
        <v>145</v>
      </c>
      <c r="B95" s="72">
        <v>0.35</v>
      </c>
      <c r="C95" s="217">
        <f>+B95*F99</f>
        <v>26.599999999999998</v>
      </c>
      <c r="E95" s="49" t="s">
        <v>146</v>
      </c>
      <c r="F95" s="23">
        <f>IF(B151&gt;=(B152*1.5),100,IF(B151&gt;=(B152*1.3),80,IF(B151&gt;=(B152*1),50,IF(B151&gt;=(B152*0.75),30,IF(B151&gt;=(B152*0.5),15,IF(B151&gt;=(B152*0.25),10,IF(B151&gt;=(B152*0.1),0,-30)))))))</f>
        <v>100</v>
      </c>
      <c r="G95" s="7"/>
      <c r="I95" s="49" t="s">
        <v>147</v>
      </c>
      <c r="J95">
        <f>IF(B136&lt;0.02,100,IF(B136&lt;0.05,70,IF(B136&lt;0.1,40,0)))</f>
        <v>70</v>
      </c>
      <c r="M95" s="49" t="s">
        <v>148</v>
      </c>
      <c r="N95">
        <f>IF(B129&gt;=36,100,
IF(B129&gt;=24,80,
IF(B129&gt;=12,60,40)))</f>
        <v>100</v>
      </c>
    </row>
    <row r="96" spans="1:39">
      <c r="A96" s="24" t="s">
        <v>61</v>
      </c>
      <c r="B96" s="72">
        <v>0.25</v>
      </c>
      <c r="C96" s="217">
        <f>+B96*N102</f>
        <v>17.75</v>
      </c>
      <c r="E96" s="49" t="s">
        <v>149</v>
      </c>
      <c r="F96">
        <f>IF(B118&gt;0.3,100,IF(B118&gt;0.2,80,IF(B118&gt;0.15,60,IF(B118&gt;0.1,40,IF(B118&gt;0.05,20,IF(B118&gt;0,0,-20))))))</f>
        <v>60</v>
      </c>
      <c r="G96" s="7"/>
      <c r="I96" s="49" t="s">
        <v>150</v>
      </c>
      <c r="J96">
        <f>IF(B130=1,-100,100)</f>
        <v>100</v>
      </c>
      <c r="M96" s="49" t="s">
        <v>151</v>
      </c>
      <c r="N96">
        <f>IF(B128&gt;=24,100,
IF(B128&gt;=12,80,
IF(B128&gt;=6,60,40)))</f>
        <v>100</v>
      </c>
    </row>
    <row r="97" spans="1:14" ht="14.65" thickBot="1">
      <c r="A97" s="24" t="s">
        <v>152</v>
      </c>
      <c r="B97" s="72">
        <v>7.4999999999999997E-2</v>
      </c>
      <c r="C97" s="217">
        <f>+B97*J98</f>
        <v>6.75</v>
      </c>
      <c r="E97" s="49" t="s">
        <v>153</v>
      </c>
      <c r="F97" s="23">
        <f>IF(B121&lt;0.1,100,IF(B121&lt;0.2,80,IF(B121&lt;0.3,60,IF(B121&lt;0.4,30,IF(B121&lt;0.5,20,IF(B121&gt;0.5,0,))))))</f>
        <v>20</v>
      </c>
      <c r="G97" s="7"/>
      <c r="I97" s="49" t="s">
        <v>154</v>
      </c>
      <c r="J97">
        <f>IF(B140="NO FACHADA",100,-50)</f>
        <v>100</v>
      </c>
      <c r="M97" s="49" t="s">
        <v>155</v>
      </c>
      <c r="N97">
        <f>IF(B125&gt;0.2,100,
IF(B125&gt;0.1,80,
IF(B125&gt;0,40,IF(B125&gt;-0.05,0,-40))))</f>
        <v>80</v>
      </c>
    </row>
    <row r="98" spans="1:14" ht="15" thickTop="1" thickBot="1">
      <c r="A98" s="24" t="s">
        <v>156</v>
      </c>
      <c r="B98" s="72">
        <v>7.4999999999999997E-2</v>
      </c>
      <c r="C98" s="217">
        <f>+B98*J104</f>
        <v>2.625</v>
      </c>
      <c r="E98" s="49" t="str">
        <f>+A154</f>
        <v>Activo VS ventas anuales</v>
      </c>
      <c r="F98">
        <f>IF(B154&lt;0.1,100,
IF(B154&lt;0.2,80,
IF(B154&lt;0.3,40,IF(B154&lt;0.5,20,IF(B154&lt;0.7,0,-40)))))</f>
        <v>100</v>
      </c>
      <c r="G98" s="7"/>
      <c r="J98" s="215">
        <f>AVERAGE(J95,J96,J97)</f>
        <v>90</v>
      </c>
      <c r="L98" s="23"/>
      <c r="M98" s="442" t="s">
        <v>402</v>
      </c>
      <c r="N98" s="447">
        <f>+D126</f>
        <v>100</v>
      </c>
    </row>
    <row r="99" spans="1:14" ht="15" thickTop="1" thickBot="1">
      <c r="A99" s="50" t="s">
        <v>158</v>
      </c>
      <c r="B99" s="368">
        <v>0.25</v>
      </c>
      <c r="C99" s="217">
        <f>+B99*F104</f>
        <v>20.100000000000001</v>
      </c>
      <c r="D99" s="217">
        <f>+B99*G104</f>
        <v>25</v>
      </c>
      <c r="F99" s="215">
        <f>F95*0.4 + F96*0.3 + F97*0.15+F98*0.15</f>
        <v>76</v>
      </c>
      <c r="G99" s="7"/>
      <c r="M99" s="49" t="s">
        <v>157</v>
      </c>
      <c r="N99">
        <f>IF(B114&lt;30,100,IF(B114&lt;45,90,IF(B114&lt;60,75,IF(B114&lt;75,60,IF(B114&lt;90,40,20)))))</f>
        <v>100</v>
      </c>
    </row>
    <row r="100" spans="1:14" ht="16.149999999999999" thickBot="1">
      <c r="A100" s="377" t="s">
        <v>360</v>
      </c>
      <c r="B100" s="378">
        <f>+(C95+C96+C97+C98+C99)*10</f>
        <v>738.24999999999989</v>
      </c>
      <c r="I100" s="416" t="s">
        <v>160</v>
      </c>
      <c r="J100" s="416"/>
      <c r="M100" s="49" t="s">
        <v>159</v>
      </c>
      <c r="N100">
        <f>IF(AND(B115&gt;=30,B115&lt;=60),100,IF(OR(AND(B115&gt;=15,B115&lt;30),AND(B115&gt;60,B115&lt;=75)),70,20))</f>
        <v>20</v>
      </c>
    </row>
    <row r="101" spans="1:14" ht="16.149999999999999" thickBot="1">
      <c r="A101" s="44" t="s">
        <v>361</v>
      </c>
      <c r="B101" s="379">
        <f>+(C95+C96+C97+C98+D99)*10</f>
        <v>787.25</v>
      </c>
      <c r="C101" s="384" t="str">
        <f>IF(B101&gt;=850,"Excelente Candidato",
IF(B101&gt;=700,"Aprobación",
IF(B101&gt;=550,"Aprobar con Aval",
IF(B101&gt;=500,"Revisar con Obligado",IF(B101&gt;=400,"Solicitar Aval * Depósitos","Sugerenica Rechazo")))))</f>
        <v>Aprobación</v>
      </c>
      <c r="E101" s="417" t="s">
        <v>161</v>
      </c>
      <c r="F101" s="417"/>
      <c r="G101" s="23" t="s">
        <v>162</v>
      </c>
      <c r="I101" s="49" t="s">
        <v>163</v>
      </c>
      <c r="J101">
        <f>IF(B132&lt;1500,100,IF(B132&lt;2000,50,IF(B132&lt;2500,25,IF(B132&lt;3500,0,IF(B132&gt;=3500,-30,)))))</f>
        <v>25</v>
      </c>
      <c r="M101" s="49" t="str">
        <f>+A120</f>
        <v>Coeficiente Variacion Flujo</v>
      </c>
      <c r="N101">
        <f>IF(B110&lt;0,IF(B120&gt;2,-30,0),IF(B120&lt;1,100,IF(B120&lt;2,70,IF(B120&lt;3,40,IF(B120&lt;4,30,IF(B120&lt;5,0,-30))))))</f>
        <v>40</v>
      </c>
    </row>
    <row r="102" spans="1:14" ht="15" thickTop="1" thickBot="1">
      <c r="A102" s="8" t="s">
        <v>164</v>
      </c>
      <c r="B102" s="383" t="str">
        <f>IF(B101&gt;=850,"Muy poco riesgo",
IF(B101&gt;=700,"Riesgo Bajo",
IF(B101&gt;=600,"Riesgo aceptable",
IF(B101&gt;=500,"Riesgo Medio",IF(B101&gt;=400,"Riesgo Alto","Riesgo muy Alto")))))</f>
        <v>Riesgo Bajo</v>
      </c>
      <c r="C102" s="318" t="str">
        <f>+IF(B131="RECHAZAR","RECHAZAR",IF(B137="ALERTA","ALERTA","NO en listas negras"))</f>
        <v>NO en listas negras</v>
      </c>
      <c r="E102" s="49" t="s">
        <v>165</v>
      </c>
      <c r="F102">
        <f>IF(B138&gt;=330,100,IF(B138&gt;=300,80,IF(B138&gt;=270,72,IF(B138&gt;=240,68,IF(B138&gt;=220,64,IF(B138&gt;=200,40,IF(B138&gt;=180,10,IF(B138="",30,0))))))))</f>
        <v>72</v>
      </c>
      <c r="G102" s="2" t="s">
        <v>166</v>
      </c>
      <c r="I102" s="442" t="s">
        <v>403</v>
      </c>
      <c r="J102" s="23">
        <f>IF(B134&lt;0.025,100,IF(B134&lt;0.05,80,IF(B134&lt;0.075,50,IF(B134&lt;0.1,0,IF(B134&lt;0.15,-20,IF(B134&gt;0.25,-30,-40))))))</f>
        <v>-20</v>
      </c>
      <c r="N102" s="357">
        <f>(N95*0.025)+(N96*0.025)+(N97*0.3)+(N98*0.15)+(N99*0.15)+(N100*0.1)+(N101*0.25)</f>
        <v>71</v>
      </c>
    </row>
    <row r="103" spans="1:14" ht="15" thickTop="1" thickBot="1">
      <c r="A103" s="8" t="s">
        <v>136</v>
      </c>
      <c r="B103" s="319" t="str">
        <f>+C153</f>
        <v>Suficiente</v>
      </c>
      <c r="C103" s="320" t="str">
        <f>+B140</f>
        <v>NO FACHADA</v>
      </c>
      <c r="E103" s="8" t="str">
        <f>+A116</f>
        <v>CxP / Flujo Operativo</v>
      </c>
      <c r="F103" s="23">
        <f>IF(B116&lt;=0, -30, IF(B116&lt;1, 100, IF(B116&lt;2, 70, IF(B116&lt;3, 40, IF(B116&lt;5, 30, 0)))))</f>
        <v>100</v>
      </c>
      <c r="G103" s="385">
        <f>IF(B110&lt;0, -20, IF(B116&lt;1, 100, IF(B116&lt;2, 70, IF(B116&lt;3, 40, IF(B116&lt;5, 30, 0)))))</f>
        <v>100</v>
      </c>
      <c r="I103" s="49" t="s">
        <v>168</v>
      </c>
      <c r="J103">
        <f>IF(B135&lt;0.05,100,
IF(B135&lt;0.1,80,IF(B135&lt;0.2,50,IF(B135&lt;0.4,0,-40))))</f>
        <v>100</v>
      </c>
      <c r="L103" t="s">
        <v>169</v>
      </c>
    </row>
    <row r="104" spans="1:14" ht="15" thickTop="1" thickBot="1">
      <c r="A104" s="8" t="s">
        <v>156</v>
      </c>
      <c r="B104" s="321" t="str">
        <f>+B133</f>
        <v>ALERTA CONCENTRACION</v>
      </c>
      <c r="C104" s="322" t="str">
        <f>+C150</f>
        <v>Buen Flujo</v>
      </c>
      <c r="F104" s="214">
        <f>(F102*0.7)+(F103*0.3)</f>
        <v>80.400000000000006</v>
      </c>
      <c r="G104" s="214">
        <f>(G103*1)</f>
        <v>100</v>
      </c>
      <c r="J104" s="215">
        <f>AVERAGE(J101,J102,J103)</f>
        <v>35</v>
      </c>
      <c r="L104" t="s">
        <v>102</v>
      </c>
      <c r="M104" t="s">
        <v>103</v>
      </c>
    </row>
    <row r="105" spans="1:14">
      <c r="L105" t="s">
        <v>150</v>
      </c>
      <c r="M105" t="s">
        <v>170</v>
      </c>
    </row>
    <row r="106" spans="1:14" ht="21.4" thickBot="1">
      <c r="A106" s="51" t="s">
        <v>171</v>
      </c>
      <c r="B106" s="52" t="s">
        <v>172</v>
      </c>
      <c r="D106" s="53"/>
      <c r="L106" t="s">
        <v>173</v>
      </c>
      <c r="M106" t="s">
        <v>170</v>
      </c>
    </row>
    <row r="107" spans="1:14" ht="14.65" thickBot="1">
      <c r="A107" s="55" t="s">
        <v>174</v>
      </c>
      <c r="B107" s="56" t="s">
        <v>175</v>
      </c>
      <c r="C107" s="56" t="s">
        <v>176</v>
      </c>
      <c r="D107" s="56" t="s">
        <v>177</v>
      </c>
      <c r="E107" s="56" t="s">
        <v>178</v>
      </c>
      <c r="L107" t="s">
        <v>179</v>
      </c>
      <c r="M107" t="s">
        <v>170</v>
      </c>
    </row>
    <row r="108" spans="1:14">
      <c r="A108" t="s">
        <v>180</v>
      </c>
      <c r="B108" s="358">
        <f>AVERAGE(C88:N88)</f>
        <v>1880509.5316666665</v>
      </c>
      <c r="C108" s="359">
        <f>AVERAGE(C88:AL88)</f>
        <v>1509269.9383333335</v>
      </c>
      <c r="D108" s="2" t="str">
        <f>IF(B108/B109&gt;1.5,"Bien",IF(B108/B109&gt;1.3,"Ok",IF(B108/B109&gt;1.2,"Revisar",IF(B108/B109&gt;1.15,"Muy Bajo","Alerta"))))</f>
        <v>Ok</v>
      </c>
      <c r="E108" s="57" t="s">
        <v>181</v>
      </c>
      <c r="L108" t="s">
        <v>182</v>
      </c>
      <c r="M108" t="s">
        <v>183</v>
      </c>
    </row>
    <row r="109" spans="1:14">
      <c r="A109" t="s">
        <v>184</v>
      </c>
      <c r="B109" s="358">
        <f>AVERAGE(C89:N89)</f>
        <v>1307001.5808333333</v>
      </c>
      <c r="C109" s="359">
        <f>AVERAGE(C89:AL89)</f>
        <v>1019062.476388889</v>
      </c>
      <c r="D109" s="53" t="str">
        <f>IF(B109/B108&lt;0.6,"Bien",IF(B109/B108&lt;0.76,"Ok",IF(B109/B108&lt;0.8,"Revisar",IF(B109/B108&lt;0.89,"Riesgo","Alerta"))))</f>
        <v>Ok</v>
      </c>
      <c r="E109" s="57" t="s">
        <v>185</v>
      </c>
      <c r="L109" t="s">
        <v>186</v>
      </c>
      <c r="M109" t="s">
        <v>183</v>
      </c>
    </row>
    <row r="110" spans="1:14">
      <c r="A110" t="s">
        <v>187</v>
      </c>
      <c r="B110" s="358">
        <f>AVERAGE(C90:N90)</f>
        <v>348564.28666666668</v>
      </c>
      <c r="C110" s="359">
        <f>AVERAGE(C90:AL90)</f>
        <v>242792.63861111121</v>
      </c>
      <c r="D110" s="53" t="str">
        <f>IF(B110/B149&gt;2,"Bien",IF(B110/B149&gt;1.5,"Ok",IF(B110/B149&gt;1.2,"Revisión","Alerta")))</f>
        <v>Bien</v>
      </c>
      <c r="E110" s="57" t="s">
        <v>188</v>
      </c>
    </row>
    <row r="111" spans="1:14">
      <c r="A111" t="s">
        <v>189</v>
      </c>
      <c r="B111" s="359">
        <f>B110*IF(B110&gt;=0, B159, 1+(1-B159))</f>
        <v>243995.00066666666</v>
      </c>
      <c r="C111" s="359">
        <f>C110*IF(C110&gt;=0, B159, 1+(1-B159))</f>
        <v>169954.84702777784</v>
      </c>
      <c r="D111" s="2" t="str">
        <f>IF(B111/B149&gt;2,"Bien",IF(B111/B149&gt;1.5,"Ok",IF(B111/B149&gt;1.2,"Revisión","Alerta")))</f>
        <v>Bien</v>
      </c>
      <c r="E111" s="57" t="s">
        <v>190</v>
      </c>
    </row>
    <row r="112" spans="1:14">
      <c r="A112" t="s">
        <v>191</v>
      </c>
      <c r="B112" s="358">
        <f>AVERAGE(C91:N91)</f>
        <v>621134.89583333337</v>
      </c>
      <c r="C112" s="359">
        <f>AVERAGE(C91:AL91)</f>
        <v>451210.40277777775</v>
      </c>
      <c r="E112" s="9" t="s">
        <v>192</v>
      </c>
    </row>
    <row r="113" spans="1:9">
      <c r="A113" t="s">
        <v>193</v>
      </c>
      <c r="B113" s="358">
        <f>AVERAGE(C92:N92)</f>
        <v>33041.937500000007</v>
      </c>
      <c r="C113" s="359">
        <f>AVERAGE(C92:AL92)</f>
        <v>19037.849999999995</v>
      </c>
      <c r="E113" s="9" t="s">
        <v>194</v>
      </c>
    </row>
    <row r="114" spans="1:9">
      <c r="A114" t="s">
        <v>195</v>
      </c>
      <c r="B114" s="360">
        <f>+(B112/B108)*30</f>
        <v>9.9090414386174022</v>
      </c>
      <c r="C114" s="360">
        <f>+(C112/C108)*30</f>
        <v>8.9687813554951621</v>
      </c>
      <c r="D114" s="10" t="str">
        <f>+IF(B114&gt;B115,"Financia a Proveedores", "Proveedores la Financian")</f>
        <v>Financia a Proveedores</v>
      </c>
      <c r="E114" s="9" t="s">
        <v>196</v>
      </c>
    </row>
    <row r="115" spans="1:9">
      <c r="A115" t="s">
        <v>197</v>
      </c>
      <c r="B115" s="360">
        <f>+(B113/B109)*30</f>
        <v>0.75842151955775161</v>
      </c>
      <c r="C115" s="360">
        <f>+(C113/C109)*30</f>
        <v>0.56045189890992142</v>
      </c>
      <c r="D115" s="10" t="str">
        <f>+IF(B115&gt;B114,"Proveedores la Financian","Financia a Proveedores")</f>
        <v>Financia a Proveedores</v>
      </c>
      <c r="E115" s="9" t="s">
        <v>196</v>
      </c>
    </row>
    <row r="116" spans="1:9">
      <c r="A116" t="s">
        <v>198</v>
      </c>
      <c r="B116" s="208">
        <f>+((B113*4.5)/(B110*12))</f>
        <v>3.5547894711167871E-2</v>
      </c>
      <c r="C116" s="208">
        <f>+(C113*4.5)/(C110*12)</f>
        <v>2.9404490147804996E-2</v>
      </c>
      <c r="D116" s="59">
        <f>IF(B116&lt;=0,"ALERTA",(B113*4.5)/(B110*12))</f>
        <v>3.5547894711167871E-2</v>
      </c>
      <c r="E116" s="57" t="s">
        <v>346</v>
      </c>
      <c r="I116" t="s">
        <v>199</v>
      </c>
    </row>
    <row r="117" spans="1:9">
      <c r="A117" t="s">
        <v>200</v>
      </c>
      <c r="B117" s="427"/>
      <c r="C117" s="360"/>
      <c r="E117" t="s">
        <v>201</v>
      </c>
    </row>
    <row r="118" spans="1:9">
      <c r="A118" t="s">
        <v>202</v>
      </c>
      <c r="B118" s="60">
        <f>(B110/B108)</f>
        <v>0.18535629881000365</v>
      </c>
      <c r="C118" s="60">
        <f>(C110/C108)</f>
        <v>0.16086760389544622</v>
      </c>
      <c r="D118" s="2">
        <f>IF(B118&lt;=0,"ALERTA",(B115*4.5)/(B112*12))</f>
        <v>4.578845460817113E-7</v>
      </c>
      <c r="E118" s="57" t="s">
        <v>203</v>
      </c>
    </row>
    <row r="119" spans="1:9">
      <c r="A119" t="s">
        <v>362</v>
      </c>
      <c r="B119" s="381">
        <f>_xlfn.STDEV.P(C90:N90)</f>
        <v>763291.06759452529</v>
      </c>
      <c r="C119" s="381">
        <f>_xlfn.STDEV.P(C90:AL90)</f>
        <v>791390.81410340557</v>
      </c>
      <c r="E119" s="57" t="s">
        <v>204</v>
      </c>
    </row>
    <row r="120" spans="1:9">
      <c r="A120" t="s">
        <v>205</v>
      </c>
      <c r="B120" s="382">
        <f>ABS(B119/B110)</f>
        <v>2.1898143234750362</v>
      </c>
      <c r="C120" s="366">
        <f>C119/C110</f>
        <v>3.2595338088936119</v>
      </c>
      <c r="D120" s="57"/>
      <c r="E120" s="57" t="s">
        <v>370</v>
      </c>
    </row>
    <row r="121" spans="1:9">
      <c r="A121" t="s">
        <v>371</v>
      </c>
      <c r="B121" s="60">
        <f>(B119/B108)</f>
        <v>0.40589587808046484</v>
      </c>
      <c r="C121" s="60">
        <f>+(C119/C108)</f>
        <v>0.52435339365291267</v>
      </c>
      <c r="D121" s="2" t="str">
        <f>+IF(B121&lt;20%,"Estables",IF(B121&lt;40%,"Normal",IF(B121&gt;40%,"Volatil")))</f>
        <v>Volatil</v>
      </c>
      <c r="E121" s="57" t="s">
        <v>207</v>
      </c>
    </row>
    <row r="122" spans="1:9">
      <c r="A122" t="s">
        <v>208</v>
      </c>
      <c r="B122" s="361">
        <f>COUNTIF(E88:P88,"&gt;0")</f>
        <v>12</v>
      </c>
      <c r="C122" s="362">
        <f>COUNTIF(E88:AN88,"&gt;0")</f>
        <v>34</v>
      </c>
      <c r="E122" s="57" t="s">
        <v>209</v>
      </c>
    </row>
    <row r="123" spans="1:9">
      <c r="A123" t="s">
        <v>210</v>
      </c>
      <c r="B123" s="363">
        <f>B122/12</f>
        <v>1</v>
      </c>
      <c r="C123" s="363">
        <f>C122/36</f>
        <v>0.94444444444444442</v>
      </c>
      <c r="D123" s="2" t="str">
        <f>+IF(B123&gt;90%,"Estable",IF(B123&gt;50%,"Intermitente",IF(B123&lt;50%,"Riesgoso")))</f>
        <v>Estable</v>
      </c>
      <c r="E123" s="57" t="s">
        <v>211</v>
      </c>
    </row>
    <row r="124" spans="1:9">
      <c r="A124" s="203"/>
      <c r="B124" s="204"/>
      <c r="C124" s="204"/>
      <c r="D124" s="205"/>
      <c r="E124" s="206"/>
    </row>
    <row r="125" spans="1:9">
      <c r="A125" t="s">
        <v>212</v>
      </c>
      <c r="B125" s="60">
        <f>AVERAGE(C88:H88)/AVERAGE(I88:N88)-1</f>
        <v>0.10182333721941417</v>
      </c>
      <c r="C125" s="60">
        <f>AVERAGE(C88:T88)/AVERAGE(U88:AL88)-1</f>
        <v>0.53592420017758591</v>
      </c>
      <c r="D125" s="59" t="str">
        <f>+IF(B125&gt;15%,"Bueno",IF(B125&gt;5%,"Estable",IF(B125&gt;1%,"Bajo",IF(B125&gt;-10%,"Alerta","Deterioro"))))</f>
        <v>Estable</v>
      </c>
      <c r="E125" s="9" t="s">
        <v>213</v>
      </c>
    </row>
    <row r="126" spans="1:9" ht="14.65" thickBot="1">
      <c r="A126" s="23" t="s">
        <v>401</v>
      </c>
      <c r="B126" s="439">
        <f>AVERAGE(C89:H89)/AVERAGE(I89:N89)-1</f>
        <v>-3.4750191984713408E-2</v>
      </c>
      <c r="C126" s="439">
        <f>AVERAGE(C89:T89)/AVERAGE(U89:AL89)-1</f>
        <v>0.59908308193695969</v>
      </c>
      <c r="D126" s="440">
        <f>IF(B126&gt;B125,-20,IF(B126&lt;0,100,IF(B126&lt;=B125*0.5,80,IF(B126&lt;=B125,60,30))))</f>
        <v>100</v>
      </c>
    </row>
    <row r="127" spans="1:9" ht="14.65" thickBot="1">
      <c r="A127" s="55" t="s">
        <v>214</v>
      </c>
      <c r="B127" s="61" t="s">
        <v>215</v>
      </c>
      <c r="C127" s="56" t="s">
        <v>178</v>
      </c>
      <c r="D127" s="411"/>
    </row>
    <row r="128" spans="1:9">
      <c r="A128" s="16" t="s">
        <v>216</v>
      </c>
      <c r="B128" s="62">
        <v>36</v>
      </c>
      <c r="C128" s="1" t="s">
        <v>217</v>
      </c>
    </row>
    <row r="129" spans="1:9">
      <c r="A129" s="3" t="s">
        <v>218</v>
      </c>
      <c r="B129" s="25">
        <v>36</v>
      </c>
      <c r="C129" s="1" t="s">
        <v>219</v>
      </c>
    </row>
    <row r="130" spans="1:9">
      <c r="A130" s="3" t="s">
        <v>220</v>
      </c>
      <c r="B130" s="25">
        <v>0</v>
      </c>
      <c r="C130" s="1" t="s">
        <v>221</v>
      </c>
    </row>
    <row r="131" spans="1:9">
      <c r="A131" s="3" t="s">
        <v>222</v>
      </c>
      <c r="B131" s="4" t="str">
        <f>IF(B130=1,"RECHAZAR","NO")</f>
        <v>NO</v>
      </c>
      <c r="C131" s="1" t="s">
        <v>223</v>
      </c>
    </row>
    <row r="132" spans="1:9">
      <c r="A132" s="3" t="s">
        <v>224</v>
      </c>
      <c r="B132" s="65">
        <v>2381</v>
      </c>
      <c r="C132" s="1" t="s">
        <v>225</v>
      </c>
    </row>
    <row r="133" spans="1:9">
      <c r="A133" s="3" t="s">
        <v>226</v>
      </c>
      <c r="B133" s="451" t="str">
        <f>IF(B132&gt;1500,"ALERTA CONCENTRACION","OK")</f>
        <v>ALERTA CONCENTRACION</v>
      </c>
      <c r="C133" s="1" t="s">
        <v>227</v>
      </c>
    </row>
    <row r="134" spans="1:9">
      <c r="A134" s="443" t="s">
        <v>403</v>
      </c>
      <c r="B134" s="450">
        <v>0.14000000000000001</v>
      </c>
      <c r="C134" s="1" t="s">
        <v>229</v>
      </c>
    </row>
    <row r="135" spans="1:9">
      <c r="A135" s="3" t="s">
        <v>230</v>
      </c>
      <c r="B135" s="67">
        <v>6.1799999999999995E-4</v>
      </c>
      <c r="C135" s="1" t="s">
        <v>231</v>
      </c>
    </row>
    <row r="136" spans="1:9">
      <c r="A136" s="3" t="s">
        <v>232</v>
      </c>
      <c r="B136" s="67">
        <v>0.02</v>
      </c>
      <c r="C136" s="1" t="s">
        <v>233</v>
      </c>
    </row>
    <row r="137" spans="1:9">
      <c r="A137" s="3" t="s">
        <v>234</v>
      </c>
      <c r="B137" s="68" t="str">
        <f>IF(B136&gt;0.2,"ALERTA","OK")</f>
        <v>OK</v>
      </c>
      <c r="C137" s="1" t="s">
        <v>177</v>
      </c>
    </row>
    <row r="138" spans="1:9">
      <c r="A138" s="3" t="s">
        <v>235</v>
      </c>
      <c r="B138" s="69">
        <v>283</v>
      </c>
      <c r="C138" s="1" t="s">
        <v>372</v>
      </c>
      <c r="I138" t="s">
        <v>373</v>
      </c>
    </row>
    <row r="139" spans="1:9">
      <c r="A139" s="3" t="s">
        <v>236</v>
      </c>
      <c r="B139" s="68" t="str">
        <f>IF(B138&gt;175,"NO",IF(B138="","Sin Buró","RECHAZAR"))</f>
        <v>NO</v>
      </c>
      <c r="C139" s="1" t="s">
        <v>177</v>
      </c>
    </row>
    <row r="140" spans="1:9" ht="14.65" thickBot="1">
      <c r="A140" s="6" t="s">
        <v>237</v>
      </c>
      <c r="B140" s="317" t="str">
        <f>IF(AND(B136&gt;0.1, B125&gt;0.5, B132&gt;3500),"Fachada RECHAZAR","NO FACHADA")</f>
        <v>NO FACHADA</v>
      </c>
      <c r="C140" s="1" t="s">
        <v>238</v>
      </c>
    </row>
    <row r="141" spans="1:9" ht="14.65" thickBot="1">
      <c r="A141" s="3" t="s">
        <v>239</v>
      </c>
      <c r="B141" s="69">
        <v>693</v>
      </c>
    </row>
    <row r="142" spans="1:9" ht="14.65" thickBot="1">
      <c r="A142" s="412" t="s">
        <v>240</v>
      </c>
      <c r="B142" s="413"/>
      <c r="C142" s="56" t="s">
        <v>177</v>
      </c>
      <c r="D142" s="56" t="s">
        <v>178</v>
      </c>
    </row>
    <row r="143" spans="1:9">
      <c r="A143" s="16" t="s">
        <v>241</v>
      </c>
      <c r="B143" s="70">
        <f>599880+0+12031.34</f>
        <v>611911.34</v>
      </c>
      <c r="D143" s="1" t="s">
        <v>242</v>
      </c>
    </row>
    <row r="144" spans="1:9">
      <c r="A144" s="3" t="s">
        <v>243</v>
      </c>
      <c r="B144" s="71">
        <v>161000</v>
      </c>
      <c r="D144" s="1" t="s">
        <v>244</v>
      </c>
    </row>
    <row r="145" spans="1:13">
      <c r="A145" s="3" t="s">
        <v>245</v>
      </c>
      <c r="B145" s="71">
        <v>129284.49</v>
      </c>
      <c r="D145" s="1" t="s">
        <v>245</v>
      </c>
    </row>
    <row r="146" spans="1:13">
      <c r="A146" s="3" t="s">
        <v>246</v>
      </c>
      <c r="B146" s="251">
        <f>B143-B144</f>
        <v>450911.33999999997</v>
      </c>
      <c r="D146" s="1" t="s">
        <v>247</v>
      </c>
    </row>
    <row r="147" spans="1:13">
      <c r="A147" s="3" t="s">
        <v>248</v>
      </c>
      <c r="B147" s="25">
        <v>48</v>
      </c>
    </row>
    <row r="148" spans="1:13">
      <c r="A148" s="3" t="s">
        <v>83</v>
      </c>
      <c r="B148" s="72">
        <f>+IF(B147&lt;24,30.2%,IF(B147&lt;36,26%,IF(B147&lt;48,24.55%,IF(B147&lt;60,23.82%,"0%"))))</f>
        <v>0.2382</v>
      </c>
      <c r="D148" s="73"/>
    </row>
    <row r="149" spans="1:13">
      <c r="A149" s="3" t="s">
        <v>249</v>
      </c>
      <c r="B149" s="216">
        <f>+PMT(B148/12,B147,-B146,B145)</f>
        <v>13019.943286144557</v>
      </c>
      <c r="C149" s="2" t="str">
        <f>IF(B150/B149&gt;2,"Bien",IF(B150/B149&gt;1.5,"Ok",IF(B150/B149&gt;1.2,"Alerta","Le falta Flujo")))</f>
        <v>Bien</v>
      </c>
      <c r="D149" s="1" t="s">
        <v>250</v>
      </c>
    </row>
    <row r="150" spans="1:13">
      <c r="A150" s="3" t="s">
        <v>189</v>
      </c>
      <c r="B150" s="216">
        <f>B111</f>
        <v>243995.00066666666</v>
      </c>
      <c r="C150" s="2" t="str">
        <f>IF(B111/B149&gt;2,"Buen Flujo",IF(B111/B149&gt;1.5,"Ok Flujo",IF(B111/B149&gt;1.1,"Flujo muy Justo","Flujo Insuficiente")))</f>
        <v>Buen Flujo</v>
      </c>
      <c r="D150" s="1" t="s">
        <v>251</v>
      </c>
    </row>
    <row r="151" spans="1:13">
      <c r="A151" s="3" t="s">
        <v>252</v>
      </c>
      <c r="B151" s="364">
        <f>+(B150/B149)</f>
        <v>18.740097042228978</v>
      </c>
      <c r="C151" s="2" t="str">
        <f>+IF(B151&gt;1.5,"Comodo",IF(B151&gt;1.1,"Aceptable",IF(B151&lt;1.1,"Rechazo")))</f>
        <v>Comodo</v>
      </c>
      <c r="D151" t="s">
        <v>374</v>
      </c>
    </row>
    <row r="152" spans="1:13">
      <c r="A152" s="3" t="s">
        <v>253</v>
      </c>
      <c r="B152" s="289">
        <f>IF(B147&lt;=24,$B$584,IF(B147&lt;=36,$B$585,IF(B147&lt;=48,$B$586,$B$587)))</f>
        <v>2.5</v>
      </c>
      <c r="D152" t="s">
        <v>254</v>
      </c>
    </row>
    <row r="153" spans="1:13">
      <c r="A153" s="3" t="s">
        <v>255</v>
      </c>
      <c r="B153" s="365"/>
      <c r="C153" s="4" t="str">
        <f>IF(B151&gt;B152,"Suficiente",IF(B151&lt;1,"Negativo","AVAL"))</f>
        <v>Suficiente</v>
      </c>
      <c r="D153" t="s">
        <v>256</v>
      </c>
    </row>
    <row r="154" spans="1:13">
      <c r="A154" s="3" t="s">
        <v>257</v>
      </c>
      <c r="B154" s="72">
        <f>+B143/SUM(D88:O88)</f>
        <v>2.6698986627261678E-2</v>
      </c>
      <c r="C154" s="2" t="str">
        <f>IF(B154&lt;0.1,"Excelente",IF(B154&lt;0.2,"Bien",IF(B154&lt;0.3,"Ok",IF(B154&lt;0.6,"Revisar",IF(B154&lt;0.9,"Alerta","Sobrepasado")))))</f>
        <v>Excelente</v>
      </c>
      <c r="D154" t="s">
        <v>375</v>
      </c>
    </row>
    <row r="155" spans="1:13">
      <c r="A155" s="3" t="s">
        <v>258</v>
      </c>
      <c r="B155" s="216">
        <f>B150/B152</f>
        <v>97598.00026666667</v>
      </c>
      <c r="C155" s="74" t="str">
        <f>IF(B155/B149&gt;4,"Ok",IF(B155/B149&gt;2,"OK",IF((B155/B149)&gt;1.2,"Renta con Riesgo",IF(B155/B149&lt;1.1,"No Otorgar"))))</f>
        <v>Ok</v>
      </c>
      <c r="D155" t="s">
        <v>259</v>
      </c>
      <c r="G155">
        <f>+B155/B149</f>
        <v>7.4960388168915921</v>
      </c>
    </row>
    <row r="156" spans="1:13" ht="14.65" thickBot="1">
      <c r="A156" s="6" t="s">
        <v>260</v>
      </c>
      <c r="B156" s="445">
        <f>IF(B150&lt;0, 0, PV(B148/12,B147,-B155))</f>
        <v>3002793.1797850779</v>
      </c>
      <c r="C156" s="2" t="str">
        <f>+IF(B156/B143&gt;1,"Otorgar",IF(B156/B143&gt;0.75,"Revision","No Otorgar"))</f>
        <v>Otorgar</v>
      </c>
      <c r="D156" t="s">
        <v>261</v>
      </c>
    </row>
    <row r="157" spans="1:13" ht="14.65" thickBot="1"/>
    <row r="158" spans="1:13">
      <c r="A158" s="47" t="s">
        <v>262</v>
      </c>
      <c r="B158" s="48" t="s">
        <v>263</v>
      </c>
    </row>
    <row r="159" spans="1:13">
      <c r="A159" s="24" t="s">
        <v>264</v>
      </c>
      <c r="B159" s="25">
        <v>0.7</v>
      </c>
      <c r="M159" t="s">
        <v>265</v>
      </c>
    </row>
    <row r="160" spans="1:13">
      <c r="A160" s="24" t="s">
        <v>80</v>
      </c>
      <c r="B160" s="25">
        <v>3</v>
      </c>
      <c r="D160" t="s">
        <v>254</v>
      </c>
    </row>
    <row r="161" spans="1:39">
      <c r="A161" s="24" t="s">
        <v>85</v>
      </c>
      <c r="B161" s="25">
        <v>2.75</v>
      </c>
      <c r="D161" t="s">
        <v>254</v>
      </c>
    </row>
    <row r="162" spans="1:39">
      <c r="A162" s="24" t="s">
        <v>87</v>
      </c>
      <c r="B162" s="25">
        <v>2.5</v>
      </c>
      <c r="D162" t="s">
        <v>254</v>
      </c>
    </row>
    <row r="163" spans="1:39">
      <c r="A163" s="24" t="s">
        <v>88</v>
      </c>
      <c r="B163" s="25">
        <v>2.25</v>
      </c>
      <c r="D163" t="s">
        <v>254</v>
      </c>
    </row>
    <row r="164" spans="1:39">
      <c r="A164" s="24" t="s">
        <v>266</v>
      </c>
      <c r="B164" s="25">
        <v>6</v>
      </c>
      <c r="D164" t="s">
        <v>267</v>
      </c>
    </row>
    <row r="165" spans="1:39">
      <c r="A165" s="24" t="s">
        <v>268</v>
      </c>
      <c r="B165" s="25">
        <v>-10</v>
      </c>
      <c r="D165" t="s">
        <v>269</v>
      </c>
    </row>
    <row r="166" spans="1:39" ht="14.65" thickBot="1">
      <c r="A166" s="50" t="s">
        <v>270</v>
      </c>
      <c r="B166" s="75">
        <v>-30</v>
      </c>
      <c r="D166" t="s">
        <v>271</v>
      </c>
    </row>
    <row r="167" spans="1:39">
      <c r="A167" s="47"/>
      <c r="B167" s="48"/>
    </row>
    <row r="169" spans="1:39" ht="14.65" thickBot="1"/>
    <row r="170" spans="1:39" ht="27" thickBot="1">
      <c r="A170" s="453" t="s">
        <v>400</v>
      </c>
      <c r="B170" s="454"/>
      <c r="C170" s="454"/>
      <c r="D170" s="454"/>
      <c r="E170" s="454"/>
      <c r="F170" s="388"/>
      <c r="G170" s="388"/>
      <c r="H170" s="389"/>
      <c r="I170" s="386"/>
      <c r="J170" s="386"/>
      <c r="K170" s="386"/>
      <c r="L170" s="386"/>
      <c r="M170" s="386"/>
      <c r="N170" s="386"/>
      <c r="O170" s="386"/>
      <c r="P170" s="386"/>
      <c r="Q170" s="386"/>
      <c r="R170" s="386"/>
      <c r="S170" s="386"/>
      <c r="T170" s="386"/>
      <c r="U170" s="386"/>
      <c r="V170" s="386"/>
      <c r="W170" s="386"/>
      <c r="X170" s="386"/>
      <c r="Y170" s="386"/>
      <c r="Z170" s="386"/>
      <c r="AA170" s="386"/>
      <c r="AB170" s="386"/>
      <c r="AC170" s="386"/>
      <c r="AD170" s="386"/>
      <c r="AE170" s="386"/>
      <c r="AF170" s="386"/>
      <c r="AG170" s="386"/>
      <c r="AH170" s="386"/>
      <c r="AI170" s="386"/>
      <c r="AJ170" s="386"/>
      <c r="AK170" s="386"/>
      <c r="AL170" s="390"/>
    </row>
    <row r="171" spans="1:39" ht="14.65" thickBot="1">
      <c r="A171" s="30" t="s">
        <v>131</v>
      </c>
      <c r="C171" s="31">
        <v>46143</v>
      </c>
      <c r="D171" s="31">
        <v>46113</v>
      </c>
      <c r="E171" s="31">
        <v>46054</v>
      </c>
      <c r="F171" s="31">
        <f>+E171-1</f>
        <v>46053</v>
      </c>
      <c r="G171" s="31">
        <f>+F171-1</f>
        <v>46052</v>
      </c>
      <c r="H171" s="31">
        <f t="shared" ref="H171" si="62">+G171-1</f>
        <v>46051</v>
      </c>
      <c r="I171" s="31">
        <f t="shared" ref="I171" si="63">+H171-1</f>
        <v>46050</v>
      </c>
      <c r="J171" s="31">
        <f t="shared" ref="J171" si="64">+I171-1</f>
        <v>46049</v>
      </c>
      <c r="K171" s="31">
        <f t="shared" ref="K171" si="65">+J171-1</f>
        <v>46048</v>
      </c>
      <c r="L171" s="31">
        <f t="shared" ref="L171" si="66">+K171-1</f>
        <v>46047</v>
      </c>
      <c r="M171" s="31">
        <f t="shared" ref="M171" si="67">+L171-1</f>
        <v>46046</v>
      </c>
      <c r="N171" s="31">
        <f t="shared" ref="N171" si="68">+M171-1</f>
        <v>46045</v>
      </c>
      <c r="O171" s="31">
        <f t="shared" ref="O171" si="69">+N171-1</f>
        <v>46044</v>
      </c>
      <c r="P171" s="31">
        <f t="shared" ref="P171" si="70">+O171-1</f>
        <v>46043</v>
      </c>
      <c r="Q171" s="31">
        <f t="shared" ref="Q171" si="71">+P171-1</f>
        <v>46042</v>
      </c>
      <c r="R171" s="31">
        <f t="shared" ref="R171" si="72">+Q171-1</f>
        <v>46041</v>
      </c>
      <c r="S171" s="31">
        <f t="shared" ref="S171" si="73">+R171-1</f>
        <v>46040</v>
      </c>
      <c r="T171" s="31">
        <f t="shared" ref="T171" si="74">+S171-1</f>
        <v>46039</v>
      </c>
      <c r="U171" s="31">
        <f t="shared" ref="U171" si="75">+T171-1</f>
        <v>46038</v>
      </c>
      <c r="V171" s="31">
        <f t="shared" ref="V171" si="76">+U171-1</f>
        <v>46037</v>
      </c>
      <c r="W171" s="31">
        <f t="shared" ref="W171" si="77">+V171-1</f>
        <v>46036</v>
      </c>
      <c r="X171" s="31">
        <f t="shared" ref="X171" si="78">+W171-1</f>
        <v>46035</v>
      </c>
      <c r="Y171" s="31">
        <f t="shared" ref="Y171" si="79">+X171-1</f>
        <v>46034</v>
      </c>
      <c r="Z171" s="31">
        <f t="shared" ref="Z171" si="80">+Y171-1</f>
        <v>46033</v>
      </c>
      <c r="AA171" s="31">
        <f t="shared" ref="AA171" si="81">+Z171-1</f>
        <v>46032</v>
      </c>
      <c r="AB171" s="31">
        <f t="shared" ref="AB171" si="82">+AA171-1</f>
        <v>46031</v>
      </c>
      <c r="AC171" s="31">
        <f t="shared" ref="AC171" si="83">+AB171-1</f>
        <v>46030</v>
      </c>
      <c r="AD171" s="31">
        <f t="shared" ref="AD171" si="84">+AC171-1</f>
        <v>46029</v>
      </c>
      <c r="AE171" s="31">
        <f t="shared" ref="AE171" si="85">+AD171-1</f>
        <v>46028</v>
      </c>
      <c r="AF171" s="31">
        <f t="shared" ref="AF171" si="86">+AE171-1</f>
        <v>46027</v>
      </c>
      <c r="AG171" s="31">
        <f t="shared" ref="AG171" si="87">+AF171-1</f>
        <v>46026</v>
      </c>
      <c r="AH171" s="31">
        <f t="shared" ref="AH171" si="88">+AG171-1</f>
        <v>46025</v>
      </c>
      <c r="AI171" s="31">
        <f t="shared" ref="AI171" si="89">+AH171-1</f>
        <v>46024</v>
      </c>
      <c r="AJ171" s="31">
        <f t="shared" ref="AJ171" si="90">+AI171-1</f>
        <v>46023</v>
      </c>
      <c r="AK171" s="31">
        <f t="shared" ref="AK171" si="91">+AJ171-1</f>
        <v>46022</v>
      </c>
      <c r="AL171" s="31">
        <f t="shared" ref="AL171" si="92">+AK171-1</f>
        <v>46021</v>
      </c>
    </row>
    <row r="172" spans="1:39" ht="14.65" thickBot="1">
      <c r="A172" s="32" t="s">
        <v>132</v>
      </c>
      <c r="C172" s="33">
        <v>1</v>
      </c>
      <c r="D172" s="34">
        <v>2</v>
      </c>
      <c r="E172" s="34">
        <v>3</v>
      </c>
      <c r="F172" s="34">
        <v>4</v>
      </c>
      <c r="G172" s="34">
        <v>5</v>
      </c>
      <c r="H172" s="34">
        <v>6</v>
      </c>
      <c r="I172" s="34">
        <v>7</v>
      </c>
      <c r="J172" s="34">
        <v>8</v>
      </c>
      <c r="K172" s="34">
        <v>9</v>
      </c>
      <c r="L172" s="34">
        <v>10</v>
      </c>
      <c r="M172" s="34">
        <v>11</v>
      </c>
      <c r="N172" s="34">
        <v>12</v>
      </c>
      <c r="O172" s="34">
        <v>13</v>
      </c>
      <c r="P172" s="34">
        <v>14</v>
      </c>
      <c r="Q172" s="34">
        <v>15</v>
      </c>
      <c r="R172" s="34">
        <v>16</v>
      </c>
      <c r="S172" s="34">
        <v>17</v>
      </c>
      <c r="T172" s="34">
        <v>18</v>
      </c>
      <c r="U172" s="34">
        <v>19</v>
      </c>
      <c r="V172" s="34">
        <v>20</v>
      </c>
      <c r="W172" s="34">
        <v>21</v>
      </c>
      <c r="X172" s="34">
        <v>22</v>
      </c>
      <c r="Y172" s="34">
        <v>23</v>
      </c>
      <c r="Z172" s="34">
        <v>24</v>
      </c>
      <c r="AA172" s="34">
        <v>25</v>
      </c>
      <c r="AB172" s="34">
        <v>26</v>
      </c>
      <c r="AC172" s="34">
        <v>27</v>
      </c>
      <c r="AD172" s="34">
        <v>28</v>
      </c>
      <c r="AE172" s="34">
        <v>29</v>
      </c>
      <c r="AF172" s="34">
        <v>30</v>
      </c>
      <c r="AG172" s="34">
        <v>31</v>
      </c>
      <c r="AH172" s="34">
        <v>32</v>
      </c>
      <c r="AI172" s="34">
        <v>33</v>
      </c>
      <c r="AJ172" s="34">
        <v>34</v>
      </c>
      <c r="AK172" s="34">
        <v>35</v>
      </c>
      <c r="AL172" s="35">
        <v>36</v>
      </c>
      <c r="AM172">
        <v>37</v>
      </c>
    </row>
    <row r="173" spans="1:39" ht="14.25" customHeight="1">
      <c r="A173" s="36" t="s">
        <v>133</v>
      </c>
      <c r="B173" s="418" t="s">
        <v>134</v>
      </c>
      <c r="C173" s="37">
        <v>698424.04</v>
      </c>
      <c r="D173" s="37">
        <v>652338.5</v>
      </c>
      <c r="E173" s="37">
        <v>590052.96</v>
      </c>
      <c r="F173" s="37">
        <v>569865.26</v>
      </c>
      <c r="G173" s="37">
        <v>693196.34</v>
      </c>
      <c r="H173" s="37">
        <v>662850.56000000006</v>
      </c>
      <c r="I173" s="37">
        <v>296683.52000000002</v>
      </c>
      <c r="J173" s="37">
        <v>579709.5</v>
      </c>
      <c r="K173" s="37">
        <v>564367.42000000004</v>
      </c>
      <c r="L173" s="37">
        <v>546640.26</v>
      </c>
      <c r="M173" s="37">
        <v>597569.68999999994</v>
      </c>
      <c r="N173" s="37">
        <v>538708.05000000005</v>
      </c>
      <c r="O173" s="37">
        <v>494044.34</v>
      </c>
      <c r="P173" s="37">
        <v>513951.2</v>
      </c>
      <c r="Q173" s="37">
        <v>435634.44</v>
      </c>
      <c r="R173" s="37">
        <v>415560.14</v>
      </c>
      <c r="S173" s="37">
        <v>384627.16</v>
      </c>
      <c r="T173" s="37">
        <v>557860.69999999995</v>
      </c>
      <c r="U173" s="37">
        <v>435765.44</v>
      </c>
      <c r="V173" s="37">
        <v>464200.35</v>
      </c>
      <c r="W173" s="37">
        <v>429123.38</v>
      </c>
      <c r="X173" s="37">
        <v>418738.01</v>
      </c>
      <c r="Y173" s="37">
        <v>428981.66</v>
      </c>
      <c r="Z173" s="37">
        <v>450939.91</v>
      </c>
      <c r="AA173" s="37">
        <v>395671.75</v>
      </c>
      <c r="AB173" s="37">
        <v>402138.62</v>
      </c>
      <c r="AC173" s="37">
        <v>415560.14</v>
      </c>
      <c r="AD173" s="37">
        <v>371204.88</v>
      </c>
      <c r="AE173" s="37">
        <v>398047.92</v>
      </c>
      <c r="AF173" s="37">
        <v>422740.84</v>
      </c>
      <c r="AG173" s="37">
        <v>473115.24</v>
      </c>
      <c r="AH173" s="37">
        <v>389078.66</v>
      </c>
      <c r="AI173" s="37">
        <v>397845</v>
      </c>
      <c r="AJ173" s="37">
        <v>400010</v>
      </c>
      <c r="AK173" s="37">
        <v>443520</v>
      </c>
      <c r="AL173" s="37">
        <v>357420</v>
      </c>
    </row>
    <row r="174" spans="1:39">
      <c r="A174" s="36" t="s">
        <v>135</v>
      </c>
      <c r="B174" s="419"/>
      <c r="C174" s="39">
        <v>163575.76</v>
      </c>
      <c r="D174" s="39">
        <v>256539.49</v>
      </c>
      <c r="E174" s="39">
        <v>171773.01</v>
      </c>
      <c r="F174" s="39">
        <v>176524.38</v>
      </c>
      <c r="G174" s="39">
        <v>142735.29</v>
      </c>
      <c r="H174" s="39">
        <v>187377.28</v>
      </c>
      <c r="I174" s="39">
        <v>269119.90999999997</v>
      </c>
      <c r="J174" s="39">
        <v>176830.66</v>
      </c>
      <c r="K174" s="39">
        <v>162125.17000000001</v>
      </c>
      <c r="L174" s="39">
        <v>232444.95</v>
      </c>
      <c r="M174" s="39">
        <v>204320.16</v>
      </c>
      <c r="N174" s="39">
        <v>325679.75</v>
      </c>
      <c r="O174" s="39">
        <v>329273.61</v>
      </c>
      <c r="P174" s="39">
        <v>201187.49</v>
      </c>
      <c r="Q174" s="39">
        <v>188391.45</v>
      </c>
      <c r="R174" s="39">
        <v>175749.75</v>
      </c>
      <c r="S174" s="39">
        <v>210864.87</v>
      </c>
      <c r="T174" s="39">
        <v>174427.99</v>
      </c>
      <c r="U174" s="39">
        <v>244989.52</v>
      </c>
      <c r="V174" s="39">
        <v>262271.7</v>
      </c>
      <c r="W174" s="39">
        <v>247849.1</v>
      </c>
      <c r="X174" s="39">
        <v>214705.79</v>
      </c>
      <c r="Y174" s="39">
        <v>294179.42</v>
      </c>
      <c r="Z174" s="39">
        <v>161890.43</v>
      </c>
      <c r="AA174" s="39">
        <v>201164.01</v>
      </c>
      <c r="AB174" s="39">
        <v>301077.92</v>
      </c>
      <c r="AC174" s="39">
        <v>419123.76</v>
      </c>
      <c r="AD174" s="39">
        <v>399206.59</v>
      </c>
      <c r="AE174" s="39">
        <v>331386.40000000002</v>
      </c>
      <c r="AF174" s="39">
        <v>394378.23</v>
      </c>
      <c r="AG174" s="39">
        <v>397395.37</v>
      </c>
      <c r="AH174" s="39">
        <v>312561.07</v>
      </c>
      <c r="AI174" s="39">
        <v>344270.94</v>
      </c>
      <c r="AJ174" s="39">
        <v>262652.07</v>
      </c>
      <c r="AK174" s="39">
        <v>492054.86</v>
      </c>
      <c r="AL174" s="39">
        <v>459634.32</v>
      </c>
    </row>
    <row r="175" spans="1:39">
      <c r="A175" s="36" t="s">
        <v>136</v>
      </c>
      <c r="B175" s="419"/>
      <c r="C175" s="39">
        <v>-174292.48000000001</v>
      </c>
      <c r="D175" s="39">
        <v>-247894.13</v>
      </c>
      <c r="E175" s="39">
        <v>-170939.48</v>
      </c>
      <c r="F175" s="39">
        <v>-176116.59</v>
      </c>
      <c r="G175" s="39">
        <v>-144203.92000000001</v>
      </c>
      <c r="H175" s="39">
        <v>85371.39</v>
      </c>
      <c r="I175" s="39">
        <v>232128.88</v>
      </c>
      <c r="J175" s="39">
        <v>276036.40999999997</v>
      </c>
      <c r="K175" s="39">
        <v>306769</v>
      </c>
      <c r="L175" s="39">
        <v>271974.03000000003</v>
      </c>
      <c r="M175" s="39">
        <v>254545.38</v>
      </c>
      <c r="N175" s="39">
        <v>173598.09</v>
      </c>
      <c r="O175" s="39">
        <v>351350.72</v>
      </c>
      <c r="P175" s="39">
        <v>233812.81</v>
      </c>
      <c r="Q175" s="39">
        <v>480154.59</v>
      </c>
      <c r="R175" s="39">
        <v>188741.03</v>
      </c>
      <c r="S175" s="39">
        <v>288556.5</v>
      </c>
      <c r="T175" s="39">
        <v>405911.73</v>
      </c>
      <c r="U175" s="39">
        <v>118411.55</v>
      </c>
      <c r="V175" s="39">
        <v>211523.94</v>
      </c>
      <c r="W175" s="39">
        <v>258873.84</v>
      </c>
      <c r="X175" s="39">
        <v>236300.98</v>
      </c>
      <c r="Y175" s="39">
        <v>226037.08</v>
      </c>
      <c r="Z175" s="39">
        <v>175887.17</v>
      </c>
      <c r="AA175" s="39">
        <v>204785.23</v>
      </c>
      <c r="AB175" s="39">
        <v>121923.31</v>
      </c>
      <c r="AC175" s="39">
        <v>-921.34</v>
      </c>
      <c r="AD175" s="39">
        <v>-75231.53</v>
      </c>
      <c r="AE175" s="39">
        <v>48344.97</v>
      </c>
      <c r="AF175" s="39">
        <v>19531.63</v>
      </c>
      <c r="AG175" s="39">
        <v>531999.55000000005</v>
      </c>
      <c r="AH175" s="39">
        <v>156533.38</v>
      </c>
      <c r="AI175" s="39">
        <v>197127.88</v>
      </c>
      <c r="AJ175" s="39">
        <v>84303.13</v>
      </c>
      <c r="AK175" s="39">
        <v>-75303.47</v>
      </c>
      <c r="AL175" s="39">
        <v>-136259.75</v>
      </c>
    </row>
    <row r="176" spans="1:39">
      <c r="A176" s="36" t="s">
        <v>137</v>
      </c>
      <c r="B176" s="419"/>
      <c r="C176" s="39">
        <v>774842.8</v>
      </c>
      <c r="D176" s="39">
        <v>727259</v>
      </c>
      <c r="E176" s="39">
        <v>660859.19999999995</v>
      </c>
      <c r="F176" s="39">
        <v>638249.02</v>
      </c>
      <c r="G176" s="39">
        <v>776380.1</v>
      </c>
      <c r="H176" s="39">
        <v>742392.8</v>
      </c>
      <c r="I176" s="39">
        <v>187805.6</v>
      </c>
      <c r="J176" s="39">
        <v>573338.69999999995</v>
      </c>
      <c r="K176" s="39">
        <v>379870.2</v>
      </c>
      <c r="L176" s="39">
        <v>218271.8</v>
      </c>
      <c r="M176" s="39">
        <v>221265.38</v>
      </c>
      <c r="N176" s="39">
        <v>134943.74</v>
      </c>
      <c r="O176" s="39">
        <v>60223.6</v>
      </c>
      <c r="P176" s="39">
        <v>0</v>
      </c>
      <c r="Q176" s="39">
        <v>36031.599999999999</v>
      </c>
      <c r="R176" s="39">
        <v>0</v>
      </c>
      <c r="S176" s="39">
        <v>0</v>
      </c>
      <c r="T176" s="39">
        <v>25216.26</v>
      </c>
      <c r="U176" s="39">
        <v>0</v>
      </c>
      <c r="V176" s="39">
        <v>0</v>
      </c>
      <c r="W176" s="39">
        <v>0</v>
      </c>
      <c r="X176" s="39">
        <v>20682.900000000001</v>
      </c>
      <c r="Y176" s="39">
        <v>17322.900000000001</v>
      </c>
      <c r="Z176" s="39">
        <v>7530</v>
      </c>
      <c r="AA176" s="39">
        <v>10440</v>
      </c>
      <c r="AB176" s="39">
        <v>0</v>
      </c>
      <c r="AC176" s="39">
        <v>0</v>
      </c>
      <c r="AD176" s="39">
        <v>0</v>
      </c>
      <c r="AE176" s="39">
        <v>0</v>
      </c>
      <c r="AF176" s="39">
        <v>0</v>
      </c>
      <c r="AG176" s="39">
        <v>32355</v>
      </c>
      <c r="AH176" s="39">
        <v>0</v>
      </c>
      <c r="AI176" s="39">
        <v>0</v>
      </c>
      <c r="AJ176" s="39">
        <v>0</v>
      </c>
      <c r="AK176" s="39">
        <v>19286.400000000001</v>
      </c>
      <c r="AL176" s="39">
        <v>0</v>
      </c>
    </row>
    <row r="177" spans="1:38" ht="14.65" thickBot="1">
      <c r="A177" s="44" t="s">
        <v>138</v>
      </c>
      <c r="B177" s="420"/>
      <c r="C177" s="45">
        <v>0</v>
      </c>
      <c r="D177" s="45">
        <v>1825.06</v>
      </c>
      <c r="E177" s="45">
        <v>1220.96</v>
      </c>
      <c r="F177" s="45">
        <v>1504.14</v>
      </c>
      <c r="G177" s="45">
        <v>0</v>
      </c>
      <c r="H177" s="45">
        <v>62354.400000000001</v>
      </c>
      <c r="I177" s="45">
        <v>103787.96</v>
      </c>
      <c r="J177" s="45">
        <v>0</v>
      </c>
      <c r="K177" s="45">
        <v>1063.8</v>
      </c>
      <c r="L177" s="45">
        <v>77936.350000000006</v>
      </c>
      <c r="M177" s="45">
        <v>0</v>
      </c>
      <c r="N177" s="45">
        <v>130.01</v>
      </c>
      <c r="O177" s="45">
        <v>128316.56</v>
      </c>
      <c r="P177" s="45">
        <v>1476.16</v>
      </c>
      <c r="Q177" s="45">
        <v>111460.02</v>
      </c>
      <c r="R177" s="45">
        <v>2187.1999999999998</v>
      </c>
      <c r="S177" s="45">
        <v>0</v>
      </c>
      <c r="T177" s="45">
        <v>0</v>
      </c>
      <c r="U177" s="45">
        <v>0</v>
      </c>
      <c r="V177" s="45">
        <v>0</v>
      </c>
      <c r="W177" s="45">
        <v>0</v>
      </c>
      <c r="X177" s="45">
        <v>10599.98</v>
      </c>
      <c r="Y177" s="45">
        <v>847.81</v>
      </c>
      <c r="Z177" s="45">
        <v>0</v>
      </c>
      <c r="AA177" s="45">
        <v>0</v>
      </c>
      <c r="AB177" s="45">
        <v>5594.4</v>
      </c>
      <c r="AC177" s="45">
        <v>2090.02</v>
      </c>
      <c r="AD177" s="45">
        <v>9786.81</v>
      </c>
      <c r="AE177" s="45">
        <v>2784</v>
      </c>
      <c r="AF177" s="45">
        <v>0</v>
      </c>
      <c r="AG177" s="45">
        <v>340456</v>
      </c>
      <c r="AH177" s="45">
        <v>132124</v>
      </c>
      <c r="AI177" s="45">
        <v>143260</v>
      </c>
      <c r="AJ177" s="45">
        <v>1856</v>
      </c>
      <c r="AK177" s="45">
        <v>1624.42</v>
      </c>
      <c r="AL177" s="45">
        <v>1624</v>
      </c>
    </row>
    <row r="178" spans="1:38" ht="14.65" thickBot="1"/>
    <row r="179" spans="1:38">
      <c r="A179" s="47" t="s">
        <v>139</v>
      </c>
      <c r="B179" s="48" t="s">
        <v>140</v>
      </c>
      <c r="C179" t="s">
        <v>141</v>
      </c>
      <c r="E179" s="455" t="s">
        <v>142</v>
      </c>
      <c r="F179" s="455"/>
      <c r="I179" s="414" t="s">
        <v>143</v>
      </c>
      <c r="J179" s="414"/>
      <c r="M179" s="415" t="s">
        <v>144</v>
      </c>
      <c r="N179" s="415"/>
    </row>
    <row r="180" spans="1:38">
      <c r="A180" s="24" t="s">
        <v>145</v>
      </c>
      <c r="B180" s="72">
        <v>0.35</v>
      </c>
      <c r="C180" s="217">
        <f>+B180*F184</f>
        <v>9.2749999999999986</v>
      </c>
      <c r="E180" s="49" t="s">
        <v>146</v>
      </c>
      <c r="F180" s="23">
        <f>IF(B236&gt;=(B237*1.5),100,IF(B236&gt;=(B237*1.3),80,IF(B236&gt;=(B237*1),50,IF(B236&gt;=(B237*0.75),30,IF(B236&gt;=(B237*0.5),15,IF(B236&gt;=(B237*0.25),10,IF(B236&gt;=(B237*0.1),0,-30)))))))</f>
        <v>10</v>
      </c>
      <c r="G180" s="7"/>
      <c r="I180" s="49" t="s">
        <v>147</v>
      </c>
      <c r="J180">
        <f>IF(B221&lt;0.02,100,IF(B221&lt;0.05,70,IF(B221&lt;0.1,40,0)))</f>
        <v>70</v>
      </c>
      <c r="M180" s="49" t="s">
        <v>148</v>
      </c>
      <c r="N180">
        <f>IF(B214&gt;=36,100,
IF(B214&gt;=24,80,
IF(B214&gt;=12,60,40)))</f>
        <v>100</v>
      </c>
    </row>
    <row r="181" spans="1:38">
      <c r="A181" s="24" t="s">
        <v>61</v>
      </c>
      <c r="B181" s="72">
        <v>0.25</v>
      </c>
      <c r="C181" s="217">
        <f>+B181*N187</f>
        <v>18.625</v>
      </c>
      <c r="E181" s="49" t="s">
        <v>149</v>
      </c>
      <c r="F181">
        <f>IF(B203&gt;0.3,100,IF(B203&gt;0.2,80,IF(B203&gt;0.15,60,IF(B203&gt;0.1,40,IF(B203&gt;0.05,20,IF(B203&gt;0,0,-20))))))</f>
        <v>20</v>
      </c>
      <c r="G181" s="7"/>
      <c r="I181" s="49" t="s">
        <v>150</v>
      </c>
      <c r="J181">
        <f>IF(B215=1,-100,100)</f>
        <v>100</v>
      </c>
      <c r="M181" s="49" t="s">
        <v>151</v>
      </c>
      <c r="N181">
        <f>IF(B213&gt;=24,100,
IF(B213&gt;=12,80,
IF(B213&gt;=6,60,40)))</f>
        <v>100</v>
      </c>
    </row>
    <row r="182" spans="1:38" ht="14.65" thickBot="1">
      <c r="A182" s="24" t="s">
        <v>152</v>
      </c>
      <c r="B182" s="72">
        <v>7.4999999999999997E-2</v>
      </c>
      <c r="C182" s="217">
        <f>+B182*J183</f>
        <v>6.75</v>
      </c>
      <c r="E182" s="49" t="s">
        <v>153</v>
      </c>
      <c r="F182" s="23">
        <f>IF(B206&lt;0.1,100,IF(B206&lt;0.2,80,IF(B206&lt;0.3,60,IF(B206&lt;0.4,30,IF(B206&lt;0.5,20,IF(B206&gt;0.5,0,))))))</f>
        <v>30</v>
      </c>
      <c r="G182" s="7"/>
      <c r="I182" s="49" t="s">
        <v>154</v>
      </c>
      <c r="J182">
        <f>IF(B225="NO FACHADA",100,-50)</f>
        <v>100</v>
      </c>
      <c r="M182" s="49" t="s">
        <v>155</v>
      </c>
      <c r="N182">
        <f>IF(B210&gt;0.2,100,
IF(B210&gt;0.1,80,
IF(B210&gt;0,40,IF(B210&gt;-0.05,0,-40))))</f>
        <v>100</v>
      </c>
    </row>
    <row r="183" spans="1:38" ht="15" thickTop="1" thickBot="1">
      <c r="A183" s="24" t="s">
        <v>156</v>
      </c>
      <c r="B183" s="72">
        <v>7.4999999999999997E-2</v>
      </c>
      <c r="C183" s="217">
        <f>+B183*J189</f>
        <v>0.75</v>
      </c>
      <c r="E183" s="49" t="str">
        <f>+A239</f>
        <v>Activo VS ventas anuales</v>
      </c>
      <c r="F183">
        <f>IF(B239&lt;0.1,100,
IF(B239&lt;0.2,80,
IF(B239&lt;0.3,40,IF(B239&lt;0.5,20,IF(B239&lt;0.7,0,-40)))))</f>
        <v>80</v>
      </c>
      <c r="G183" s="7"/>
      <c r="J183" s="215">
        <f>AVERAGE(J180,J181,J182)</f>
        <v>90</v>
      </c>
      <c r="L183" s="23"/>
      <c r="M183" s="442" t="s">
        <v>402</v>
      </c>
      <c r="N183" s="447">
        <f>+D211</f>
        <v>100</v>
      </c>
    </row>
    <row r="184" spans="1:38" ht="15" thickTop="1" thickBot="1">
      <c r="A184" s="50" t="s">
        <v>158</v>
      </c>
      <c r="B184" s="368">
        <v>0.25</v>
      </c>
      <c r="C184" s="217">
        <f>+B184*F189</f>
        <v>12.75</v>
      </c>
      <c r="D184" s="217">
        <f>+B184*G189</f>
        <v>25</v>
      </c>
      <c r="F184" s="215">
        <f>F180*0.4 + F181*0.3 + F182*0.15+F183*0.15</f>
        <v>26.5</v>
      </c>
      <c r="G184" s="7"/>
      <c r="M184" s="49" t="s">
        <v>157</v>
      </c>
      <c r="N184">
        <f>IF(B199&lt;30,100,IF(B199&lt;45,90,IF(B199&lt;60,75,IF(B199&lt;75,60,IF(B199&lt;90,40,20)))))</f>
        <v>100</v>
      </c>
    </row>
    <row r="185" spans="1:38" ht="16.149999999999999" thickBot="1">
      <c r="A185" s="377" t="s">
        <v>360</v>
      </c>
      <c r="B185" s="378">
        <f>+(C180+C181+C182+C183+C184)*10</f>
        <v>481.5</v>
      </c>
      <c r="I185" s="416" t="s">
        <v>160</v>
      </c>
      <c r="J185" s="416"/>
      <c r="M185" s="49" t="s">
        <v>159</v>
      </c>
      <c r="N185">
        <f>IF(AND(B200&gt;=30,B200&lt;=60),100,IF(OR(AND(B200&gt;=15,B200&lt;30),AND(B200&gt;60,B200&lt;=75)),70,20))</f>
        <v>20</v>
      </c>
    </row>
    <row r="186" spans="1:38" ht="16.149999999999999" thickBot="1">
      <c r="A186" s="44" t="s">
        <v>361</v>
      </c>
      <c r="B186" s="379">
        <f>+(C180+C181+C182+C183+D184)*10</f>
        <v>604</v>
      </c>
      <c r="C186" s="384" t="str">
        <f>IF(B186&gt;=850,"Excelente Candidato",
IF(B186&gt;=700,"Aprobación",
IF(B186&gt;=550,"Aprobar con Aval",
IF(B186&gt;=500,"Revisar con Obligado",IF(B186&gt;=400,"Solicitar Aval * Depósitos","Sugerenica Rechazo")))))</f>
        <v>Aprobar con Aval</v>
      </c>
      <c r="E186" s="417" t="s">
        <v>161</v>
      </c>
      <c r="F186" s="417"/>
      <c r="G186" s="23" t="s">
        <v>162</v>
      </c>
      <c r="I186" s="49" t="s">
        <v>163</v>
      </c>
      <c r="J186">
        <f>IF(B217&lt;1500,100,IF(B217&lt;2000,50,IF(B217&lt;2500,25,IF(B217&lt;3500,0,IF(B217&gt;=3500,-30,)))))</f>
        <v>-30</v>
      </c>
      <c r="M186" s="49" t="str">
        <f>+A205</f>
        <v>Coeficiente Variacion Flujo</v>
      </c>
      <c r="N186">
        <f>IF(B195&lt;0,IF(B205&gt;2,-30,0),IF(B205&lt;1,100,IF(B205&lt;2,70,IF(B205&lt;3,40,IF(B205&lt;4,30,IF(B205&lt;5,0,-30))))))</f>
        <v>30</v>
      </c>
    </row>
    <row r="187" spans="1:38" ht="15" thickTop="1" thickBot="1">
      <c r="A187" s="8" t="s">
        <v>164</v>
      </c>
      <c r="B187" s="383" t="str">
        <f>IF(B186&gt;=850,"Muy poco riesgo",
IF(B186&gt;=700,"Riesgo Bajo",
IF(B186&gt;=600,"Riesgo aceptable",
IF(B186&gt;=500,"Riesgo Medio",IF(B186&gt;=400,"Riesgo Alto","Riesgo muy Alto")))))</f>
        <v>Riesgo aceptable</v>
      </c>
      <c r="C187" s="318" t="str">
        <f>+IF(B216="RECHAZAR","RECHAZAR",IF(B222="ALERTA","ALERTA","NO en listas negras"))</f>
        <v>NO en listas negras</v>
      </c>
      <c r="E187" s="49" t="s">
        <v>165</v>
      </c>
      <c r="F187">
        <f>IF(B223&gt;=330,100,IF(B223&gt;=300,80,IF(B223&gt;=270,72,IF(B223&gt;=240,68,IF(B223&gt;=220,64,IF(B223&gt;=200,40,IF(B223&gt;=180,10,IF(B223="",30,0))))))))</f>
        <v>30</v>
      </c>
      <c r="G187" s="2" t="s">
        <v>166</v>
      </c>
      <c r="I187" s="442" t="s">
        <v>403</v>
      </c>
      <c r="J187" s="23">
        <f>IF(B219&lt;0.025,100,IF(B219&lt;0.05,80,IF(B219&lt;0.075,50,IF(B219&lt;0.1,0,IF(B219&lt;0.15,-20,IF(B219&gt;0.25,-30,-40))))))</f>
        <v>-40</v>
      </c>
      <c r="N187" s="357">
        <f>(N180*0.025)+(N181*0.025)+(N182*0.3)+(N183*0.15)+(N184*0.15)+(N185*0.1)+(N186*0.25)</f>
        <v>74.5</v>
      </c>
    </row>
    <row r="188" spans="1:38" ht="15" thickTop="1" thickBot="1">
      <c r="A188" s="8" t="s">
        <v>136</v>
      </c>
      <c r="B188" s="319" t="str">
        <f>+C238</f>
        <v>Negativo</v>
      </c>
      <c r="C188" s="320" t="str">
        <f>+B225</f>
        <v>NO FACHADA</v>
      </c>
      <c r="E188" s="8" t="str">
        <f>+A201</f>
        <v>CxP / Flujo Operativo</v>
      </c>
      <c r="F188" s="23">
        <f>IF(B201&lt;=0, -30, IF(B201&lt;1, 100, IF(B201&lt;2, 70, IF(B201&lt;3, 40, IF(B201&lt;5, 30, 0)))))</f>
        <v>100</v>
      </c>
      <c r="G188" s="385">
        <f>IF(B195&lt;0, -20, IF(B201&lt;1, 100, IF(B201&lt;2, 70, IF(B201&lt;3, 40, IF(B201&lt;5, 30, 0)))))</f>
        <v>100</v>
      </c>
      <c r="I188" s="49" t="s">
        <v>168</v>
      </c>
      <c r="J188">
        <f>IF(B220&lt;0.05,100,
IF(B220&lt;0.1,80,IF(B220&lt;0.2,50,IF(B220&lt;0.4,0,-40))))</f>
        <v>100</v>
      </c>
      <c r="L188" t="s">
        <v>169</v>
      </c>
    </row>
    <row r="189" spans="1:38" ht="15" thickTop="1" thickBot="1">
      <c r="A189" s="8" t="s">
        <v>156</v>
      </c>
      <c r="B189" s="321" t="str">
        <f>+B218</f>
        <v>ALERTA CONCENTRACION</v>
      </c>
      <c r="C189" s="322" t="str">
        <f>+C235</f>
        <v>Flujo Insuficiente</v>
      </c>
      <c r="F189" s="214">
        <f>(F187*0.7)+(F188*0.3)</f>
        <v>51</v>
      </c>
      <c r="G189" s="214">
        <f>(G188*1)</f>
        <v>100</v>
      </c>
      <c r="J189" s="215">
        <f>AVERAGE(J186,J187,J188)</f>
        <v>10</v>
      </c>
      <c r="L189" t="s">
        <v>102</v>
      </c>
      <c r="M189" t="s">
        <v>103</v>
      </c>
    </row>
    <row r="190" spans="1:38">
      <c r="L190" t="s">
        <v>150</v>
      </c>
      <c r="M190" t="s">
        <v>170</v>
      </c>
    </row>
    <row r="191" spans="1:38" ht="21.4" thickBot="1">
      <c r="A191" s="51" t="s">
        <v>171</v>
      </c>
      <c r="B191" s="52" t="s">
        <v>172</v>
      </c>
      <c r="D191" s="53"/>
      <c r="L191" t="s">
        <v>173</v>
      </c>
      <c r="M191" t="s">
        <v>170</v>
      </c>
    </row>
    <row r="192" spans="1:38" ht="14.65" thickBot="1">
      <c r="A192" s="55" t="s">
        <v>174</v>
      </c>
      <c r="B192" s="56" t="s">
        <v>175</v>
      </c>
      <c r="C192" s="56" t="s">
        <v>176</v>
      </c>
      <c r="D192" s="56" t="s">
        <v>177</v>
      </c>
      <c r="E192" s="56" t="s">
        <v>178</v>
      </c>
      <c r="L192" t="s">
        <v>179</v>
      </c>
      <c r="M192" t="s">
        <v>170</v>
      </c>
    </row>
    <row r="193" spans="1:13">
      <c r="A193" t="s">
        <v>180</v>
      </c>
      <c r="B193" s="358">
        <f>AVERAGE(C173:N173)</f>
        <v>582533.84166666656</v>
      </c>
      <c r="C193" s="359">
        <f>AVERAGE(C173:AL173)</f>
        <v>480171.82999999996</v>
      </c>
      <c r="D193" s="2" t="str">
        <f>IF(B193/B194&gt;1.5,"Bien",IF(B193/B194&gt;1.3,"Ok",IF(B193/B194&gt;1.2,"Revisar",IF(B193/B194&gt;1.15,"Muy Bajo","Alerta"))))</f>
        <v>Bien</v>
      </c>
      <c r="E193" s="57" t="s">
        <v>181</v>
      </c>
      <c r="L193" t="s">
        <v>182</v>
      </c>
      <c r="M193" t="s">
        <v>183</v>
      </c>
    </row>
    <row r="194" spans="1:13">
      <c r="A194" t="s">
        <v>184</v>
      </c>
      <c r="B194" s="358">
        <f>AVERAGE(C174:N174)</f>
        <v>205753.81749999998</v>
      </c>
      <c r="C194" s="359">
        <f>AVERAGE(C174:AL174)</f>
        <v>263603.67972222221</v>
      </c>
      <c r="D194" s="53" t="str">
        <f>IF(B194/B193&lt;0.6,"Bien",IF(B194/B193&lt;0.76,"Ok",IF(B194/B193&lt;0.8,"Revisar",IF(B194/B193&lt;0.89,"Riesgo","Alerta"))))</f>
        <v>Bien</v>
      </c>
      <c r="E194" s="57" t="s">
        <v>185</v>
      </c>
      <c r="L194" t="s">
        <v>186</v>
      </c>
      <c r="M194" t="s">
        <v>183</v>
      </c>
    </row>
    <row r="195" spans="1:13">
      <c r="A195" t="s">
        <v>187</v>
      </c>
      <c r="B195" s="358">
        <f>AVERAGE(C175:N175)</f>
        <v>57248.04833333334</v>
      </c>
      <c r="C195" s="359">
        <f>AVERAGE(C175:AL175)</f>
        <v>137204.76416666669</v>
      </c>
      <c r="D195" s="53" t="str">
        <f>IF(B195/B234&gt;2,"Bien",IF(B195/B234&gt;1.5,"Ok",IF(B195/B234&gt;1.2,"Revisión","Alerta")))</f>
        <v>Revisión</v>
      </c>
      <c r="E195" s="57" t="s">
        <v>188</v>
      </c>
    </row>
    <row r="196" spans="1:13">
      <c r="A196" t="s">
        <v>189</v>
      </c>
      <c r="B196" s="359">
        <f>B195*IF(B195&gt;=0, B244, 1+(1-B244))</f>
        <v>40073.633833333333</v>
      </c>
      <c r="C196" s="359">
        <f>C195*IF(C195&gt;=0, B244, 1+(1-B244))</f>
        <v>96043.334916666674</v>
      </c>
      <c r="D196" s="2" t="str">
        <f>IF(B196/B234&gt;2,"Bien",IF(B196/B234&gt;1.5,"Ok",IF(B196/B234&gt;1.2,"Revisión","Alerta")))</f>
        <v>Alerta</v>
      </c>
      <c r="E196" s="57" t="s">
        <v>190</v>
      </c>
    </row>
    <row r="197" spans="1:13">
      <c r="A197" t="s">
        <v>191</v>
      </c>
      <c r="B197" s="358">
        <f>AVERAGE(C176:N176)</f>
        <v>502956.52833333332</v>
      </c>
      <c r="C197" s="359">
        <f>AVERAGE(C176:AL176)</f>
        <v>174015.75</v>
      </c>
      <c r="E197" s="9" t="s">
        <v>192</v>
      </c>
    </row>
    <row r="198" spans="1:13">
      <c r="A198" t="s">
        <v>193</v>
      </c>
      <c r="B198" s="358">
        <f>AVERAGE(C177:N177)</f>
        <v>20818.556666666667</v>
      </c>
      <c r="C198" s="359">
        <f>AVERAGE(C177:AL177)</f>
        <v>31830.835000000003</v>
      </c>
      <c r="E198" s="9" t="s">
        <v>194</v>
      </c>
    </row>
    <row r="199" spans="1:13">
      <c r="A199" t="s">
        <v>195</v>
      </c>
      <c r="B199" s="360">
        <f>+(B197/B193)*30</f>
        <v>25.901835688773506</v>
      </c>
      <c r="C199" s="360">
        <f>+(C197/C193)*30</f>
        <v>10.872092392425436</v>
      </c>
      <c r="D199" s="10" t="str">
        <f>+IF(B199&gt;B200,"Financia a Proveedores", "Proveedores la Financian")</f>
        <v>Financia a Proveedores</v>
      </c>
      <c r="E199" s="9" t="s">
        <v>196</v>
      </c>
    </row>
    <row r="200" spans="1:13">
      <c r="A200" t="s">
        <v>197</v>
      </c>
      <c r="B200" s="360">
        <f>+(B198/B194)*30</f>
        <v>3.0354561951201711</v>
      </c>
      <c r="C200" s="360">
        <f>+(C198/C194)*30</f>
        <v>3.622578603630541</v>
      </c>
      <c r="D200" s="10" t="str">
        <f>+IF(B200&gt;B199,"Proveedores la Financian","Financia a Proveedores")</f>
        <v>Financia a Proveedores</v>
      </c>
      <c r="E200" s="9" t="s">
        <v>196</v>
      </c>
    </row>
    <row r="201" spans="1:13">
      <c r="A201" t="s">
        <v>198</v>
      </c>
      <c r="B201" s="208">
        <f>+((B198*4.5)/(B195*12))</f>
        <v>0.13637074061534965</v>
      </c>
      <c r="C201" s="208">
        <f>+(C198*4.5)/(C195*12)</f>
        <v>8.6998168011865121E-2</v>
      </c>
      <c r="D201" s="59">
        <f>IF(B201&lt;=0,"ALERTA",(B198*4.5)/(B195*12))</f>
        <v>0.13637074061534965</v>
      </c>
      <c r="E201" s="57" t="s">
        <v>346</v>
      </c>
      <c r="I201" t="s">
        <v>199</v>
      </c>
    </row>
    <row r="202" spans="1:13">
      <c r="A202" t="s">
        <v>200</v>
      </c>
      <c r="B202" s="427"/>
      <c r="C202" s="360"/>
      <c r="E202" t="s">
        <v>201</v>
      </c>
    </row>
    <row r="203" spans="1:13">
      <c r="A203" t="s">
        <v>202</v>
      </c>
      <c r="B203" s="60">
        <f>(B195/B193)</f>
        <v>9.8274201837858913E-2</v>
      </c>
      <c r="C203" s="60">
        <f>(C195/C193)</f>
        <v>0.28574096936645932</v>
      </c>
      <c r="D203" s="2">
        <f>IF(B203&lt;=0,"ALERTA",(B200*4.5)/(B197*12))</f>
        <v>2.2632096593756928E-6</v>
      </c>
      <c r="E203" s="57" t="s">
        <v>203</v>
      </c>
    </row>
    <row r="204" spans="1:13">
      <c r="A204" t="s">
        <v>362</v>
      </c>
      <c r="B204" s="381">
        <f>_xlfn.STDEV.P(C175:N175)</f>
        <v>210932.1296747037</v>
      </c>
      <c r="C204" s="381">
        <f>_xlfn.STDEV.P(C175:AL175)</f>
        <v>189619.92929927667</v>
      </c>
      <c r="E204" s="57" t="s">
        <v>204</v>
      </c>
    </row>
    <row r="205" spans="1:13">
      <c r="A205" t="s">
        <v>205</v>
      </c>
      <c r="B205" s="382">
        <f>ABS(B204/B195)</f>
        <v>3.684529618311652</v>
      </c>
      <c r="C205" s="366">
        <f>C204/C195</f>
        <v>1.3820214658795646</v>
      </c>
      <c r="D205" s="57"/>
      <c r="E205" s="57" t="s">
        <v>370</v>
      </c>
    </row>
    <row r="206" spans="1:13">
      <c r="A206" t="s">
        <v>371</v>
      </c>
      <c r="B206" s="60">
        <f>(B204/B193)</f>
        <v>0.36209420738752857</v>
      </c>
      <c r="C206" s="60">
        <f>+(C204/C193)</f>
        <v>0.39490015334568185</v>
      </c>
      <c r="D206" s="2" t="str">
        <f>+IF(B206&lt;20%,"Estables",IF(B206&lt;40%,"Normal",IF(B206&gt;40%,"Volatil")))</f>
        <v>Normal</v>
      </c>
      <c r="E206" s="57" t="s">
        <v>207</v>
      </c>
    </row>
    <row r="207" spans="1:13">
      <c r="A207" t="s">
        <v>208</v>
      </c>
      <c r="B207" s="361">
        <f>COUNTIF(E173:P173,"&gt;0")</f>
        <v>12</v>
      </c>
      <c r="C207" s="362">
        <f>COUNTIF(E173:AN173,"&gt;0")</f>
        <v>34</v>
      </c>
      <c r="E207" s="57" t="s">
        <v>209</v>
      </c>
    </row>
    <row r="208" spans="1:13">
      <c r="A208" t="s">
        <v>210</v>
      </c>
      <c r="B208" s="363">
        <f>B207/12</f>
        <v>1</v>
      </c>
      <c r="C208" s="363">
        <f>C207/36</f>
        <v>0.94444444444444442</v>
      </c>
      <c r="D208" s="2" t="str">
        <f>+IF(B208&gt;90%,"Estable",IF(B208&gt;50%,"Intermitente",IF(B208&lt;50%,"Riesgoso")))</f>
        <v>Estable</v>
      </c>
      <c r="E208" s="57" t="s">
        <v>211</v>
      </c>
    </row>
    <row r="209" spans="1:9">
      <c r="A209" s="203"/>
      <c r="B209" s="204"/>
      <c r="C209" s="204"/>
      <c r="D209" s="205"/>
      <c r="E209" s="206"/>
    </row>
    <row r="210" spans="1:9">
      <c r="A210" t="s">
        <v>212</v>
      </c>
      <c r="B210" s="60">
        <f>AVERAGE(C173:H173)/AVERAGE(I173:N173)-1</f>
        <v>0.23787634811731784</v>
      </c>
      <c r="C210" s="60">
        <f>AVERAGE(C173:T173)/AVERAGE(U173:AL173)-1</f>
        <v>0.30663878625187602</v>
      </c>
      <c r="D210" s="59" t="str">
        <f>+IF(B210&gt;15%,"Bueno",IF(B210&gt;5%,"Estable",IF(B210&gt;1%,"Bajo",IF(B210&gt;-10%,"Alerta","Deterioro"))))</f>
        <v>Bueno</v>
      </c>
      <c r="E210" s="9" t="s">
        <v>213</v>
      </c>
    </row>
    <row r="211" spans="1:9" ht="14.65" thickBot="1">
      <c r="A211" s="23" t="s">
        <v>401</v>
      </c>
      <c r="B211" s="439">
        <f>AVERAGE(C174:H174)/AVERAGE(I174:N174)-1</f>
        <v>-0.19846136570293071</v>
      </c>
      <c r="C211" s="439">
        <f>AVERAGE(C174:T174)/AVERAGE(U174:AL174)-1</f>
        <v>-0.34696444384019187</v>
      </c>
      <c r="D211" s="440">
        <f>IF(B211&gt;B210,-20,IF(B211&lt;0,100,IF(B211&lt;=B210*0.5,80,IF(B211&lt;=B210,60,30))))</f>
        <v>100</v>
      </c>
    </row>
    <row r="212" spans="1:9" ht="14.65" thickBot="1">
      <c r="A212" s="55" t="s">
        <v>214</v>
      </c>
      <c r="B212" s="61" t="s">
        <v>215</v>
      </c>
      <c r="C212" s="56" t="s">
        <v>178</v>
      </c>
      <c r="D212" s="411"/>
    </row>
    <row r="213" spans="1:9">
      <c r="A213" s="16" t="s">
        <v>216</v>
      </c>
      <c r="B213" s="62">
        <v>36</v>
      </c>
      <c r="C213" s="1" t="s">
        <v>217</v>
      </c>
    </row>
    <row r="214" spans="1:9">
      <c r="A214" s="3" t="s">
        <v>218</v>
      </c>
      <c r="B214" s="25">
        <v>36</v>
      </c>
      <c r="C214" s="1" t="s">
        <v>219</v>
      </c>
    </row>
    <row r="215" spans="1:9">
      <c r="A215" s="3" t="s">
        <v>220</v>
      </c>
      <c r="B215" s="25">
        <v>0</v>
      </c>
      <c r="C215" s="1" t="s">
        <v>221</v>
      </c>
    </row>
    <row r="216" spans="1:9">
      <c r="A216" s="3" t="s">
        <v>222</v>
      </c>
      <c r="B216" s="4" t="str">
        <f>IF(B215=1,"RECHAZAR","NO")</f>
        <v>NO</v>
      </c>
      <c r="C216" s="1" t="s">
        <v>223</v>
      </c>
    </row>
    <row r="217" spans="1:9">
      <c r="A217" s="3" t="s">
        <v>224</v>
      </c>
      <c r="B217" s="65">
        <v>7341</v>
      </c>
      <c r="C217" s="1" t="s">
        <v>225</v>
      </c>
    </row>
    <row r="218" spans="1:9">
      <c r="A218" s="3" t="s">
        <v>226</v>
      </c>
      <c r="B218" s="323" t="str">
        <f>IF(B217&gt;1500,"ALERTA CONCENTRACION","OK")</f>
        <v>ALERTA CONCENTRACION</v>
      </c>
      <c r="C218" s="1" t="s">
        <v>227</v>
      </c>
    </row>
    <row r="219" spans="1:9">
      <c r="A219" s="443" t="s">
        <v>403</v>
      </c>
      <c r="B219" s="448">
        <v>0.18</v>
      </c>
      <c r="C219" s="1" t="s">
        <v>229</v>
      </c>
    </row>
    <row r="220" spans="1:9">
      <c r="A220" s="3" t="s">
        <v>230</v>
      </c>
      <c r="B220" s="67">
        <v>6.1799999999999995E-4</v>
      </c>
      <c r="C220" s="1" t="s">
        <v>231</v>
      </c>
    </row>
    <row r="221" spans="1:9">
      <c r="A221" s="3" t="s">
        <v>232</v>
      </c>
      <c r="B221" s="67">
        <v>0.02</v>
      </c>
      <c r="C221" s="1" t="s">
        <v>233</v>
      </c>
    </row>
    <row r="222" spans="1:9">
      <c r="A222" s="3" t="s">
        <v>234</v>
      </c>
      <c r="B222" s="68" t="str">
        <f>IF(B221&gt;0.2,"ALERTA","OK")</f>
        <v>OK</v>
      </c>
      <c r="C222" s="1" t="s">
        <v>177</v>
      </c>
    </row>
    <row r="223" spans="1:9">
      <c r="A223" s="3" t="s">
        <v>235</v>
      </c>
      <c r="B223" s="69"/>
      <c r="C223" s="1" t="s">
        <v>372</v>
      </c>
      <c r="I223" t="s">
        <v>373</v>
      </c>
    </row>
    <row r="224" spans="1:9">
      <c r="A224" s="3" t="s">
        <v>236</v>
      </c>
      <c r="B224" s="68" t="str">
        <f>IF(B223&gt;175,"NO",IF(B223="","Sin Buró","RECHAZAR"))</f>
        <v>Sin Buró</v>
      </c>
      <c r="C224" s="1" t="s">
        <v>177</v>
      </c>
    </row>
    <row r="225" spans="1:7" ht="14.65" thickBot="1">
      <c r="A225" s="6" t="s">
        <v>237</v>
      </c>
      <c r="B225" s="317" t="str">
        <f>IF(AND(B221&gt;0.1, B210&gt;0.5, B217&gt;3500),"Fachada RECHAZAR","NO FACHADA")</f>
        <v>NO FACHADA</v>
      </c>
      <c r="C225" s="1" t="s">
        <v>238</v>
      </c>
    </row>
    <row r="226" spans="1:7" ht="14.65" thickBot="1">
      <c r="A226" s="3" t="s">
        <v>239</v>
      </c>
      <c r="B226" s="69">
        <v>632</v>
      </c>
    </row>
    <row r="227" spans="1:7" ht="14.65" thickBot="1">
      <c r="A227" s="412" t="s">
        <v>240</v>
      </c>
      <c r="B227" s="413"/>
      <c r="C227" s="56" t="s">
        <v>177</v>
      </c>
      <c r="D227" s="56" t="s">
        <v>178</v>
      </c>
    </row>
    <row r="228" spans="1:7">
      <c r="A228" s="16" t="s">
        <v>241</v>
      </c>
      <c r="B228" s="70">
        <f>1083600+168000+32015.79</f>
        <v>1283615.79</v>
      </c>
      <c r="D228" s="1" t="s">
        <v>242</v>
      </c>
    </row>
    <row r="229" spans="1:7">
      <c r="A229" s="3" t="s">
        <v>243</v>
      </c>
      <c r="B229" s="71">
        <v>35000</v>
      </c>
      <c r="D229" s="1" t="s">
        <v>244</v>
      </c>
    </row>
    <row r="230" spans="1:7">
      <c r="A230" s="3" t="s">
        <v>245</v>
      </c>
      <c r="B230" s="71">
        <v>93413.79</v>
      </c>
      <c r="D230" s="1" t="s">
        <v>245</v>
      </c>
    </row>
    <row r="231" spans="1:7">
      <c r="A231" s="3" t="s">
        <v>246</v>
      </c>
      <c r="B231" s="251">
        <f>B228-B229</f>
        <v>1248615.79</v>
      </c>
      <c r="D231" s="1" t="s">
        <v>247</v>
      </c>
    </row>
    <row r="232" spans="1:7">
      <c r="A232" s="3" t="s">
        <v>248</v>
      </c>
      <c r="B232" s="25">
        <v>36</v>
      </c>
    </row>
    <row r="233" spans="1:7">
      <c r="A233" s="3" t="s">
        <v>83</v>
      </c>
      <c r="B233" s="72">
        <f>+IF(B232&lt;24,30.2%,IF(B232&lt;36,26%,IF(B232&lt;48,24.55%,IF(B232&lt;60,23.82%,"0%"))))</f>
        <v>0.2455</v>
      </c>
      <c r="D233" s="73"/>
    </row>
    <row r="234" spans="1:7">
      <c r="A234" s="3" t="s">
        <v>249</v>
      </c>
      <c r="B234" s="216">
        <f>+PMT(B233/12,B232,-B231,B230)</f>
        <v>47567.230834353075</v>
      </c>
      <c r="C234" s="2" t="str">
        <f>IF(B235/B234&gt;2,"Bien",IF(B235/B234&gt;1.5,"Ok",IF(B235/B234&gt;1.2,"Alerta","Le falta Flujo")))</f>
        <v>Le falta Flujo</v>
      </c>
      <c r="D234" s="1" t="s">
        <v>250</v>
      </c>
    </row>
    <row r="235" spans="1:7">
      <c r="A235" s="3" t="s">
        <v>189</v>
      </c>
      <c r="B235" s="216">
        <f>B196</f>
        <v>40073.633833333333</v>
      </c>
      <c r="C235" s="2" t="str">
        <f>IF(B196/B234&gt;2,"Buen Flujo",IF(B196/B234&gt;1.5,"Ok Flujo",IF(B196/B234&gt;1.1,"Flujo muy Justo","Flujo Insuficiente")))</f>
        <v>Flujo Insuficiente</v>
      </c>
      <c r="D235" s="1" t="s">
        <v>251</v>
      </c>
    </row>
    <row r="236" spans="1:7">
      <c r="A236" s="3" t="s">
        <v>252</v>
      </c>
      <c r="B236" s="364">
        <f>+(B235/B234)</f>
        <v>0.84246303874372563</v>
      </c>
      <c r="C236" s="2" t="str">
        <f>+IF(B236&gt;1.5,"Comodo",IF(B236&gt;1.1,"Aceptable",IF(B236&lt;1.1,"Rechazo")))</f>
        <v>Rechazo</v>
      </c>
      <c r="D236" t="s">
        <v>374</v>
      </c>
    </row>
    <row r="237" spans="1:7">
      <c r="A237" s="3" t="s">
        <v>253</v>
      </c>
      <c r="B237" s="289">
        <f>IF(B232&lt;=24,$B$584,IF(B232&lt;=36,$B$585,IF(B232&lt;=48,$B$586,$B$587)))</f>
        <v>2.75</v>
      </c>
      <c r="D237" t="s">
        <v>254</v>
      </c>
    </row>
    <row r="238" spans="1:7">
      <c r="A238" s="3" t="s">
        <v>255</v>
      </c>
      <c r="B238" s="365"/>
      <c r="C238" s="4" t="str">
        <f>IF(B236&gt;B237,"Suficiente",IF(B236&lt;1,"Negativo","AVAL"))</f>
        <v>Negativo</v>
      </c>
      <c r="D238" t="s">
        <v>256</v>
      </c>
    </row>
    <row r="239" spans="1:7">
      <c r="A239" s="3" t="s">
        <v>257</v>
      </c>
      <c r="B239" s="72">
        <f>+B228/SUM(D173:O173)</f>
        <v>0.18915573184330672</v>
      </c>
      <c r="C239" s="2" t="str">
        <f>IF(B239&lt;0.1,"Excelente",IF(B239&lt;0.2,"Bien",IF(B239&lt;0.3,"Ok",IF(B239&lt;0.6,"Revisar",IF(B239&lt;0.9,"Alerta","Sobrepasado")))))</f>
        <v>Bien</v>
      </c>
      <c r="D239" t="s">
        <v>375</v>
      </c>
    </row>
    <row r="240" spans="1:7">
      <c r="A240" s="3" t="s">
        <v>258</v>
      </c>
      <c r="B240" s="216">
        <f>B235/B237</f>
        <v>14572.230484848486</v>
      </c>
      <c r="C240" s="74" t="str">
        <f>IF(B240/B234&gt;4,"Ok",IF(B240/B234&gt;2,"OK",IF((B240/B234)&gt;1.2,"Renta con Riesgo",IF(B240/B234&lt;1.1,"No Otorgar"))))</f>
        <v>No Otorgar</v>
      </c>
      <c r="D240" t="s">
        <v>259</v>
      </c>
      <c r="G240">
        <f>+B240/B234</f>
        <v>0.30635019590680934</v>
      </c>
    </row>
    <row r="241" spans="1:38" ht="14.65" thickBot="1">
      <c r="A241" s="6" t="s">
        <v>260</v>
      </c>
      <c r="B241" s="445">
        <f>IF(B235&lt;0, 0, PV(B233/12,B232,-B240))</f>
        <v>368709.87473373284</v>
      </c>
      <c r="C241" s="2" t="str">
        <f>+IF(B241/B228&gt;1,"Otorgar",IF(B241/B228&gt;0.75,"Revision","No Otorgar"))</f>
        <v>No Otorgar</v>
      </c>
      <c r="D241" t="s">
        <v>261</v>
      </c>
    </row>
    <row r="242" spans="1:38" ht="14.65" thickBot="1"/>
    <row r="243" spans="1:38">
      <c r="A243" s="47" t="s">
        <v>262</v>
      </c>
      <c r="B243" s="48" t="s">
        <v>263</v>
      </c>
    </row>
    <row r="244" spans="1:38">
      <c r="A244" s="24" t="s">
        <v>264</v>
      </c>
      <c r="B244" s="25">
        <v>0.7</v>
      </c>
      <c r="M244" t="s">
        <v>265</v>
      </c>
    </row>
    <row r="245" spans="1:38">
      <c r="A245" s="24" t="s">
        <v>80</v>
      </c>
      <c r="B245" s="25">
        <v>3</v>
      </c>
      <c r="D245" t="s">
        <v>254</v>
      </c>
    </row>
    <row r="246" spans="1:38">
      <c r="A246" s="24" t="s">
        <v>85</v>
      </c>
      <c r="B246" s="25">
        <v>2.75</v>
      </c>
      <c r="D246" t="s">
        <v>254</v>
      </c>
    </row>
    <row r="247" spans="1:38">
      <c r="A247" s="24" t="s">
        <v>87</v>
      </c>
      <c r="B247" s="25">
        <v>2.5</v>
      </c>
      <c r="D247" t="s">
        <v>254</v>
      </c>
    </row>
    <row r="248" spans="1:38">
      <c r="A248" s="24" t="s">
        <v>88</v>
      </c>
      <c r="B248" s="25">
        <v>2.25</v>
      </c>
      <c r="D248" t="s">
        <v>254</v>
      </c>
    </row>
    <row r="249" spans="1:38">
      <c r="A249" s="24" t="s">
        <v>266</v>
      </c>
      <c r="B249" s="25">
        <v>6</v>
      </c>
      <c r="D249" t="s">
        <v>267</v>
      </c>
    </row>
    <row r="250" spans="1:38">
      <c r="A250" s="24" t="s">
        <v>268</v>
      </c>
      <c r="B250" s="25">
        <v>-10</v>
      </c>
      <c r="D250" t="s">
        <v>269</v>
      </c>
    </row>
    <row r="251" spans="1:38" ht="14.65" thickBot="1">
      <c r="A251" s="50" t="s">
        <v>270</v>
      </c>
      <c r="B251" s="75">
        <v>-30</v>
      </c>
      <c r="D251" t="s">
        <v>271</v>
      </c>
    </row>
    <row r="252" spans="1:38">
      <c r="A252" s="47"/>
      <c r="B252" s="48"/>
    </row>
    <row r="254" spans="1:38" ht="14.65" thickBot="1"/>
    <row r="255" spans="1:38" ht="27" thickBot="1">
      <c r="A255" s="453" t="s">
        <v>393</v>
      </c>
      <c r="B255" s="454"/>
      <c r="C255" s="454"/>
      <c r="D255" s="454"/>
      <c r="E255" s="454"/>
      <c r="F255" s="388"/>
      <c r="G255" s="388"/>
      <c r="H255" s="389"/>
      <c r="I255" s="386"/>
      <c r="J255" s="386"/>
      <c r="K255" s="386"/>
      <c r="L255" s="386"/>
      <c r="M255" s="386"/>
      <c r="N255" s="386"/>
      <c r="O255" s="386"/>
      <c r="P255" s="386"/>
      <c r="Q255" s="386"/>
      <c r="R255" s="386"/>
      <c r="S255" s="386"/>
      <c r="T255" s="386"/>
      <c r="U255" s="386"/>
      <c r="V255" s="386"/>
      <c r="W255" s="386"/>
      <c r="X255" s="386"/>
      <c r="Y255" s="386"/>
      <c r="Z255" s="386"/>
      <c r="AA255" s="386"/>
      <c r="AB255" s="386"/>
      <c r="AC255" s="386"/>
      <c r="AD255" s="386"/>
      <c r="AE255" s="386"/>
      <c r="AF255" s="386"/>
      <c r="AG255" s="386"/>
      <c r="AH255" s="386"/>
      <c r="AI255" s="386"/>
      <c r="AJ255" s="386"/>
      <c r="AK255" s="386"/>
      <c r="AL255" s="390"/>
    </row>
    <row r="256" spans="1:38" ht="14.65" thickBot="1">
      <c r="A256" s="30" t="s">
        <v>131</v>
      </c>
      <c r="C256" s="31">
        <v>46143</v>
      </c>
      <c r="D256" s="31">
        <v>46113</v>
      </c>
      <c r="E256" s="31">
        <v>46054</v>
      </c>
      <c r="F256" s="31">
        <f>+E256-1</f>
        <v>46053</v>
      </c>
      <c r="G256" s="31">
        <f>+F256-1</f>
        <v>46052</v>
      </c>
      <c r="H256" s="31">
        <f t="shared" ref="H256" si="93">+G256-1</f>
        <v>46051</v>
      </c>
      <c r="I256" s="31">
        <f t="shared" ref="I256" si="94">+H256-1</f>
        <v>46050</v>
      </c>
      <c r="J256" s="31">
        <f t="shared" ref="J256" si="95">+I256-1</f>
        <v>46049</v>
      </c>
      <c r="K256" s="31">
        <f t="shared" ref="K256" si="96">+J256-1</f>
        <v>46048</v>
      </c>
      <c r="L256" s="31">
        <f t="shared" ref="L256" si="97">+K256-1</f>
        <v>46047</v>
      </c>
      <c r="M256" s="31">
        <f t="shared" ref="M256" si="98">+L256-1</f>
        <v>46046</v>
      </c>
      <c r="N256" s="31">
        <f t="shared" ref="N256" si="99">+M256-1</f>
        <v>46045</v>
      </c>
      <c r="O256" s="31">
        <f t="shared" ref="O256" si="100">+N256-1</f>
        <v>46044</v>
      </c>
      <c r="P256" s="31">
        <f t="shared" ref="P256" si="101">+O256-1</f>
        <v>46043</v>
      </c>
      <c r="Q256" s="31">
        <f t="shared" ref="Q256" si="102">+P256-1</f>
        <v>46042</v>
      </c>
      <c r="R256" s="31">
        <f t="shared" ref="R256" si="103">+Q256-1</f>
        <v>46041</v>
      </c>
      <c r="S256" s="31">
        <f t="shared" ref="S256" si="104">+R256-1</f>
        <v>46040</v>
      </c>
      <c r="T256" s="31">
        <f t="shared" ref="T256" si="105">+S256-1</f>
        <v>46039</v>
      </c>
      <c r="U256" s="31">
        <f t="shared" ref="U256" si="106">+T256-1</f>
        <v>46038</v>
      </c>
      <c r="V256" s="31">
        <f t="shared" ref="V256" si="107">+U256-1</f>
        <v>46037</v>
      </c>
      <c r="W256" s="31">
        <f t="shared" ref="W256" si="108">+V256-1</f>
        <v>46036</v>
      </c>
      <c r="X256" s="31">
        <f t="shared" ref="X256" si="109">+W256-1</f>
        <v>46035</v>
      </c>
      <c r="Y256" s="31">
        <f t="shared" ref="Y256" si="110">+X256-1</f>
        <v>46034</v>
      </c>
      <c r="Z256" s="31">
        <f t="shared" ref="Z256" si="111">+Y256-1</f>
        <v>46033</v>
      </c>
      <c r="AA256" s="31">
        <f t="shared" ref="AA256" si="112">+Z256-1</f>
        <v>46032</v>
      </c>
      <c r="AB256" s="31">
        <f t="shared" ref="AB256" si="113">+AA256-1</f>
        <v>46031</v>
      </c>
      <c r="AC256" s="31">
        <f t="shared" ref="AC256" si="114">+AB256-1</f>
        <v>46030</v>
      </c>
      <c r="AD256" s="31">
        <f t="shared" ref="AD256" si="115">+AC256-1</f>
        <v>46029</v>
      </c>
      <c r="AE256" s="31">
        <f t="shared" ref="AE256" si="116">+AD256-1</f>
        <v>46028</v>
      </c>
      <c r="AF256" s="31">
        <f t="shared" ref="AF256" si="117">+AE256-1</f>
        <v>46027</v>
      </c>
      <c r="AG256" s="31">
        <f t="shared" ref="AG256" si="118">+AF256-1</f>
        <v>46026</v>
      </c>
      <c r="AH256" s="31">
        <f t="shared" ref="AH256" si="119">+AG256-1</f>
        <v>46025</v>
      </c>
      <c r="AI256" s="31">
        <f t="shared" ref="AI256" si="120">+AH256-1</f>
        <v>46024</v>
      </c>
      <c r="AJ256" s="31">
        <f t="shared" ref="AJ256" si="121">+AI256-1</f>
        <v>46023</v>
      </c>
      <c r="AK256" s="31">
        <f t="shared" ref="AK256" si="122">+AJ256-1</f>
        <v>46022</v>
      </c>
      <c r="AL256" s="31">
        <f t="shared" ref="AL256" si="123">+AK256-1</f>
        <v>46021</v>
      </c>
    </row>
    <row r="257" spans="1:39" ht="14.65" thickBot="1">
      <c r="A257" s="32" t="s">
        <v>132</v>
      </c>
      <c r="C257" s="33">
        <v>1</v>
      </c>
      <c r="D257" s="34">
        <v>2</v>
      </c>
      <c r="E257" s="34">
        <v>3</v>
      </c>
      <c r="F257" s="34">
        <v>4</v>
      </c>
      <c r="G257" s="34">
        <v>5</v>
      </c>
      <c r="H257" s="34">
        <v>6</v>
      </c>
      <c r="I257" s="34">
        <v>7</v>
      </c>
      <c r="J257" s="34">
        <v>8</v>
      </c>
      <c r="K257" s="34">
        <v>9</v>
      </c>
      <c r="L257" s="34">
        <v>10</v>
      </c>
      <c r="M257" s="34">
        <v>11</v>
      </c>
      <c r="N257" s="34">
        <v>12</v>
      </c>
      <c r="O257" s="34">
        <v>13</v>
      </c>
      <c r="P257" s="34">
        <v>14</v>
      </c>
      <c r="Q257" s="34">
        <v>15</v>
      </c>
      <c r="R257" s="34">
        <v>16</v>
      </c>
      <c r="S257" s="34">
        <v>17</v>
      </c>
      <c r="T257" s="34">
        <v>18</v>
      </c>
      <c r="U257" s="34">
        <v>19</v>
      </c>
      <c r="V257" s="34">
        <v>20</v>
      </c>
      <c r="W257" s="34">
        <v>21</v>
      </c>
      <c r="X257" s="34">
        <v>22</v>
      </c>
      <c r="Y257" s="34">
        <v>23</v>
      </c>
      <c r="Z257" s="34">
        <v>24</v>
      </c>
      <c r="AA257" s="34">
        <v>25</v>
      </c>
      <c r="AB257" s="34">
        <v>26</v>
      </c>
      <c r="AC257" s="34">
        <v>27</v>
      </c>
      <c r="AD257" s="34">
        <v>28</v>
      </c>
      <c r="AE257" s="34">
        <v>29</v>
      </c>
      <c r="AF257" s="34">
        <v>30</v>
      </c>
      <c r="AG257" s="34">
        <v>31</v>
      </c>
      <c r="AH257" s="34">
        <v>32</v>
      </c>
      <c r="AI257" s="34">
        <v>33</v>
      </c>
      <c r="AJ257" s="34">
        <v>34</v>
      </c>
      <c r="AK257" s="34">
        <v>35</v>
      </c>
      <c r="AL257" s="35">
        <v>36</v>
      </c>
      <c r="AM257">
        <v>37</v>
      </c>
    </row>
    <row r="258" spans="1:39" ht="14.25" customHeight="1">
      <c r="A258" s="36" t="s">
        <v>133</v>
      </c>
      <c r="B258" s="418" t="s">
        <v>134</v>
      </c>
      <c r="C258" s="37">
        <v>407563.64</v>
      </c>
      <c r="D258" s="37">
        <v>342884.1</v>
      </c>
      <c r="E258" s="37">
        <v>349343.95</v>
      </c>
      <c r="F258" s="37">
        <v>386284.01</v>
      </c>
      <c r="G258" s="37">
        <v>360702.78</v>
      </c>
      <c r="H258" s="37">
        <v>359178.45</v>
      </c>
      <c r="I258" s="37">
        <v>372247.36</v>
      </c>
      <c r="J258" s="37">
        <v>357066.7</v>
      </c>
      <c r="K258" s="37">
        <v>354110.05</v>
      </c>
      <c r="L258" s="37">
        <v>304071.7</v>
      </c>
      <c r="M258" s="37">
        <v>301107.90000000002</v>
      </c>
      <c r="N258" s="37">
        <v>297856.90000000002</v>
      </c>
      <c r="O258" s="37">
        <v>265917.84000000003</v>
      </c>
      <c r="P258" s="37">
        <v>275849.90000000002</v>
      </c>
      <c r="Q258" s="37">
        <v>0</v>
      </c>
      <c r="R258" s="37">
        <v>0</v>
      </c>
      <c r="S258" s="37">
        <v>0</v>
      </c>
      <c r="T258" s="37">
        <v>0</v>
      </c>
      <c r="U258" s="37">
        <v>0</v>
      </c>
      <c r="V258" s="37">
        <v>0</v>
      </c>
      <c r="W258" s="37">
        <v>0</v>
      </c>
      <c r="X258" s="37">
        <v>0</v>
      </c>
      <c r="Y258" s="37">
        <v>0</v>
      </c>
      <c r="Z258" s="37">
        <v>0</v>
      </c>
      <c r="AA258" s="37">
        <v>0</v>
      </c>
      <c r="AB258" s="37">
        <v>0</v>
      </c>
      <c r="AC258" s="37">
        <v>0</v>
      </c>
      <c r="AD258" s="37">
        <v>0</v>
      </c>
      <c r="AE258" s="37">
        <v>0</v>
      </c>
      <c r="AF258" s="37">
        <v>0</v>
      </c>
      <c r="AG258" s="37">
        <v>0</v>
      </c>
      <c r="AH258" s="37">
        <v>0</v>
      </c>
      <c r="AI258" s="37">
        <v>0</v>
      </c>
      <c r="AJ258" s="37">
        <v>0</v>
      </c>
      <c r="AK258" s="37">
        <v>0</v>
      </c>
      <c r="AL258" s="37">
        <v>0</v>
      </c>
    </row>
    <row r="259" spans="1:39">
      <c r="A259" s="36" t="s">
        <v>135</v>
      </c>
      <c r="B259" s="419"/>
      <c r="C259" s="39">
        <v>432123.23</v>
      </c>
      <c r="D259" s="39">
        <v>322114.39</v>
      </c>
      <c r="E259" s="39">
        <v>283877.57</v>
      </c>
      <c r="F259" s="39">
        <v>369224.46</v>
      </c>
      <c r="G259" s="39">
        <v>292786.03999999998</v>
      </c>
      <c r="H259" s="39">
        <v>321524.31</v>
      </c>
      <c r="I259" s="39">
        <v>369874.31</v>
      </c>
      <c r="J259" s="39">
        <v>334274.26</v>
      </c>
      <c r="K259" s="39">
        <v>337378.24</v>
      </c>
      <c r="L259" s="39">
        <v>299889.78999999998</v>
      </c>
      <c r="M259" s="39">
        <v>267077.15999999997</v>
      </c>
      <c r="N259" s="39">
        <v>255149.26</v>
      </c>
      <c r="O259" s="39">
        <v>263097.69</v>
      </c>
      <c r="P259" s="39">
        <v>252969.32</v>
      </c>
      <c r="Q259" s="39">
        <v>5285.35</v>
      </c>
      <c r="R259" s="39">
        <v>1075.76</v>
      </c>
      <c r="S259" s="39">
        <v>0</v>
      </c>
      <c r="T259" s="39">
        <v>0</v>
      </c>
      <c r="U259" s="39">
        <v>0</v>
      </c>
      <c r="V259" s="39">
        <v>0</v>
      </c>
      <c r="W259" s="39">
        <v>0</v>
      </c>
      <c r="X259" s="39">
        <v>0</v>
      </c>
      <c r="Y259" s="39">
        <v>0</v>
      </c>
      <c r="Z259" s="39">
        <v>0</v>
      </c>
      <c r="AA259" s="39">
        <v>0</v>
      </c>
      <c r="AB259" s="39">
        <v>0</v>
      </c>
      <c r="AC259" s="39">
        <v>0</v>
      </c>
      <c r="AD259" s="39">
        <v>0</v>
      </c>
      <c r="AE259" s="39">
        <v>0</v>
      </c>
      <c r="AF259" s="39">
        <v>0</v>
      </c>
      <c r="AG259" s="39">
        <v>0</v>
      </c>
      <c r="AH259" s="39">
        <v>0</v>
      </c>
      <c r="AI259" s="39">
        <v>0</v>
      </c>
      <c r="AJ259" s="39">
        <v>0</v>
      </c>
      <c r="AK259" s="39">
        <v>0</v>
      </c>
      <c r="AL259" s="39">
        <v>0</v>
      </c>
    </row>
    <row r="260" spans="1:39">
      <c r="A260" s="36" t="s">
        <v>136</v>
      </c>
      <c r="B260" s="419"/>
      <c r="C260" s="39">
        <v>28363.56</v>
      </c>
      <c r="D260" s="39">
        <v>-31339.94</v>
      </c>
      <c r="E260" s="39">
        <v>62686.25</v>
      </c>
      <c r="F260" s="39">
        <v>62389.38</v>
      </c>
      <c r="G260" s="39">
        <v>38966.25</v>
      </c>
      <c r="H260" s="39">
        <v>-12663.81</v>
      </c>
      <c r="I260" s="39">
        <v>2980.88</v>
      </c>
      <c r="J260" s="39">
        <v>-16127.75</v>
      </c>
      <c r="K260" s="39">
        <v>19394.060000000001</v>
      </c>
      <c r="L260" s="39">
        <v>-8935.16</v>
      </c>
      <c r="M260" s="39">
        <v>18094.439999999999</v>
      </c>
      <c r="N260" s="39">
        <v>-1625.44</v>
      </c>
      <c r="O260" s="39">
        <v>3280.78</v>
      </c>
      <c r="P260" s="39">
        <v>-3812.03</v>
      </c>
      <c r="Q260" s="39">
        <v>-5285.35</v>
      </c>
      <c r="R260" s="39">
        <v>0</v>
      </c>
      <c r="S260" s="39">
        <v>0</v>
      </c>
      <c r="T260" s="39">
        <v>0</v>
      </c>
      <c r="U260" s="39">
        <v>0</v>
      </c>
      <c r="V260" s="39">
        <v>0</v>
      </c>
      <c r="W260" s="39">
        <v>0</v>
      </c>
      <c r="X260" s="39">
        <v>0</v>
      </c>
      <c r="Y260" s="39">
        <v>0</v>
      </c>
      <c r="Z260" s="39">
        <v>0</v>
      </c>
      <c r="AA260" s="39">
        <v>0</v>
      </c>
      <c r="AB260" s="39">
        <v>0</v>
      </c>
      <c r="AC260" s="39">
        <v>0</v>
      </c>
      <c r="AD260" s="39">
        <v>0</v>
      </c>
      <c r="AE260" s="39">
        <v>0</v>
      </c>
      <c r="AF260" s="39">
        <v>0</v>
      </c>
      <c r="AG260" s="39">
        <v>0</v>
      </c>
      <c r="AH260" s="39">
        <v>0</v>
      </c>
      <c r="AI260" s="39">
        <v>0</v>
      </c>
      <c r="AJ260" s="39">
        <v>0</v>
      </c>
      <c r="AK260" s="39">
        <v>0</v>
      </c>
      <c r="AL260" s="39">
        <v>0</v>
      </c>
    </row>
    <row r="261" spans="1:39">
      <c r="A261" s="36" t="s">
        <v>137</v>
      </c>
      <c r="B261" s="419"/>
      <c r="C261" s="39">
        <v>60316.52</v>
      </c>
      <c r="D261" s="39">
        <v>17397.68</v>
      </c>
      <c r="E261" s="39">
        <v>0</v>
      </c>
      <c r="F261" s="39">
        <v>36538.35</v>
      </c>
      <c r="G261" s="39">
        <v>0</v>
      </c>
      <c r="H261" s="39">
        <v>7200</v>
      </c>
      <c r="I261" s="39">
        <v>0</v>
      </c>
      <c r="J261" s="39">
        <v>41757.68</v>
      </c>
      <c r="K261" s="39">
        <v>0</v>
      </c>
      <c r="L261" s="39">
        <v>0</v>
      </c>
      <c r="M261" s="39">
        <v>0</v>
      </c>
      <c r="N261" s="39">
        <v>10438.84</v>
      </c>
      <c r="O261" s="39">
        <v>4640</v>
      </c>
      <c r="P261" s="39">
        <v>0</v>
      </c>
      <c r="Q261" s="39">
        <v>0</v>
      </c>
      <c r="R261" s="39">
        <v>0</v>
      </c>
      <c r="S261" s="39">
        <v>0</v>
      </c>
      <c r="T261" s="39">
        <v>0</v>
      </c>
      <c r="U261" s="39">
        <v>0</v>
      </c>
      <c r="V261" s="39">
        <v>0</v>
      </c>
      <c r="W261" s="39">
        <v>0</v>
      </c>
      <c r="X261" s="39">
        <v>0</v>
      </c>
      <c r="Y261" s="39">
        <v>0</v>
      </c>
      <c r="Z261" s="39">
        <v>0</v>
      </c>
      <c r="AA261" s="39">
        <v>0</v>
      </c>
      <c r="AB261" s="39">
        <v>0</v>
      </c>
      <c r="AC261" s="39">
        <v>0</v>
      </c>
      <c r="AD261" s="39">
        <v>0</v>
      </c>
      <c r="AE261" s="39">
        <v>0</v>
      </c>
      <c r="AF261" s="39">
        <v>0</v>
      </c>
      <c r="AG261" s="39">
        <v>0</v>
      </c>
      <c r="AH261" s="39">
        <v>0</v>
      </c>
      <c r="AI261" s="39">
        <v>0</v>
      </c>
      <c r="AJ261" s="39">
        <v>0</v>
      </c>
      <c r="AK261" s="39">
        <v>0</v>
      </c>
      <c r="AL261" s="39">
        <v>0</v>
      </c>
    </row>
    <row r="262" spans="1:39" ht="14.65" thickBot="1">
      <c r="A262" s="44" t="s">
        <v>138</v>
      </c>
      <c r="B262" s="420"/>
      <c r="C262" s="45">
        <v>44833.61</v>
      </c>
      <c r="D262" s="45">
        <v>0</v>
      </c>
      <c r="E262" s="45">
        <v>0</v>
      </c>
      <c r="F262" s="45">
        <v>0</v>
      </c>
      <c r="G262" s="45">
        <v>0</v>
      </c>
      <c r="H262" s="45">
        <v>0</v>
      </c>
      <c r="I262" s="45">
        <v>6380.91</v>
      </c>
      <c r="J262" s="45">
        <v>0</v>
      </c>
      <c r="K262" s="45">
        <v>672.8</v>
      </c>
      <c r="L262" s="45">
        <v>0</v>
      </c>
      <c r="M262" s="45">
        <v>81.2</v>
      </c>
      <c r="N262" s="45">
        <v>93.7</v>
      </c>
      <c r="O262" s="45">
        <v>46.45</v>
      </c>
      <c r="P262" s="45">
        <v>0.05</v>
      </c>
      <c r="Q262" s="45">
        <v>0</v>
      </c>
      <c r="R262" s="45">
        <v>1247.8800000000001</v>
      </c>
      <c r="S262" s="45">
        <v>0</v>
      </c>
      <c r="T262" s="45">
        <v>0</v>
      </c>
      <c r="U262" s="45">
        <v>0</v>
      </c>
      <c r="V262" s="45">
        <v>0</v>
      </c>
      <c r="W262" s="45">
        <v>0</v>
      </c>
      <c r="X262" s="45">
        <v>0</v>
      </c>
      <c r="Y262" s="45">
        <v>0</v>
      </c>
      <c r="Z262" s="45">
        <v>0</v>
      </c>
      <c r="AA262" s="45">
        <v>0</v>
      </c>
      <c r="AB262" s="45">
        <v>0</v>
      </c>
      <c r="AC262" s="45">
        <v>0</v>
      </c>
      <c r="AD262" s="45">
        <v>0</v>
      </c>
      <c r="AE262" s="45">
        <v>0</v>
      </c>
      <c r="AF262" s="45">
        <v>0</v>
      </c>
      <c r="AG262" s="45">
        <v>0</v>
      </c>
      <c r="AH262" s="45">
        <v>0</v>
      </c>
      <c r="AI262" s="45">
        <v>0</v>
      </c>
      <c r="AJ262" s="45">
        <v>0</v>
      </c>
      <c r="AK262" s="45">
        <v>0</v>
      </c>
      <c r="AL262" s="45">
        <v>0</v>
      </c>
    </row>
    <row r="263" spans="1:39" ht="14.65" thickBot="1"/>
    <row r="264" spans="1:39">
      <c r="A264" s="47" t="s">
        <v>139</v>
      </c>
      <c r="B264" s="48" t="s">
        <v>140</v>
      </c>
      <c r="C264" t="s">
        <v>141</v>
      </c>
      <c r="E264" s="455" t="s">
        <v>142</v>
      </c>
      <c r="F264" s="455"/>
      <c r="I264" s="414" t="s">
        <v>143</v>
      </c>
      <c r="J264" s="414"/>
      <c r="M264" s="415" t="s">
        <v>144</v>
      </c>
      <c r="N264" s="415"/>
    </row>
    <row r="265" spans="1:39">
      <c r="A265" s="24" t="s">
        <v>145</v>
      </c>
      <c r="B265" s="72">
        <v>0.35</v>
      </c>
      <c r="C265" s="217">
        <f>+B265*F269</f>
        <v>7.35</v>
      </c>
      <c r="E265" s="49" t="s">
        <v>146</v>
      </c>
      <c r="F265" s="23">
        <f>IF(B321&gt;=(B322*1.5),100,IF(B321&gt;=(B322*1.3),80,IF(B321&gt;=(B322*1),50,IF(B321&gt;=(B322*0.75),30,IF(B321&gt;=(B322*0.5),15,IF(B321&gt;=(B322*0.25),10,IF(B321&gt;=(B322*0.1),0,-30)))))))</f>
        <v>0</v>
      </c>
      <c r="G265" s="7"/>
      <c r="I265" s="49" t="s">
        <v>147</v>
      </c>
      <c r="J265">
        <f>IF(B306&lt;0.02,100,IF(B306&lt;0.05,70,IF(B306&lt;0.1,40,0)))</f>
        <v>40</v>
      </c>
      <c r="M265" s="49" t="s">
        <v>148</v>
      </c>
      <c r="N265">
        <f>IF(B299&gt;=36,100,
IF(B299&gt;=24,80,
IF(B299&gt;=12,60,40)))</f>
        <v>60</v>
      </c>
    </row>
    <row r="266" spans="1:39">
      <c r="A266" s="24" t="s">
        <v>61</v>
      </c>
      <c r="B266" s="72">
        <v>0.25</v>
      </c>
      <c r="C266" s="217">
        <f>+B266*N272</f>
        <v>15.875</v>
      </c>
      <c r="E266" s="49" t="s">
        <v>149</v>
      </c>
      <c r="F266">
        <f>IF(B288&gt;0.3,100,IF(B288&gt;0.2,80,IF(B288&gt;0.15,60,IF(B288&gt;0.1,40,IF(B288&gt;0.05,20,IF(B288&gt;0,0,-20))))))</f>
        <v>0</v>
      </c>
      <c r="G266" s="7"/>
      <c r="I266" s="49" t="s">
        <v>150</v>
      </c>
      <c r="J266">
        <f>IF(B300=1,-100,100)</f>
        <v>100</v>
      </c>
      <c r="M266" s="49" t="s">
        <v>151</v>
      </c>
      <c r="N266">
        <f>IF(B298&gt;=24,100,
IF(B298&gt;=12,80,
IF(B298&gt;=6,60,40)))</f>
        <v>80</v>
      </c>
    </row>
    <row r="267" spans="1:39" ht="14.65" thickBot="1">
      <c r="A267" s="24" t="s">
        <v>152</v>
      </c>
      <c r="B267" s="72">
        <v>7.4999999999999997E-2</v>
      </c>
      <c r="C267" s="217">
        <f>+B267*J268</f>
        <v>6</v>
      </c>
      <c r="E267" s="49" t="s">
        <v>153</v>
      </c>
      <c r="F267" s="23">
        <f>IF(B291&lt;0.1,100,IF(B291&lt;0.2,80,IF(B291&lt;0.3,60,IF(B291&lt;0.4,30,IF(B291&lt;0.5,20,IF(B291&gt;0.5,0,))))))</f>
        <v>100</v>
      </c>
      <c r="G267" s="7"/>
      <c r="I267" s="49" t="s">
        <v>154</v>
      </c>
      <c r="J267">
        <f>IF(B310="NO FACHADA",100,-50)</f>
        <v>100</v>
      </c>
      <c r="M267" s="49" t="s">
        <v>155</v>
      </c>
      <c r="N267">
        <f>IF(B295&gt;0.2,100,
IF(B295&gt;0.1,80,
IF(B295&gt;0,40,IF(B295&gt;-0.05,0,-40))))</f>
        <v>80</v>
      </c>
    </row>
    <row r="268" spans="1:39" ht="15" thickTop="1" thickBot="1">
      <c r="A268" s="24" t="s">
        <v>156</v>
      </c>
      <c r="B268" s="72">
        <v>7.4999999999999997E-2</v>
      </c>
      <c r="C268" s="217">
        <f>+B268*J274</f>
        <v>7.5</v>
      </c>
      <c r="E268" s="49" t="str">
        <f>+A324</f>
        <v>Activo VS ventas anuales</v>
      </c>
      <c r="F268">
        <f>IF(B324&lt;0.1,100,
IF(B324&lt;0.2,80,
IF(B324&lt;0.3,40,IF(B324&lt;0.5,20,IF(B324&lt;0.7,0,-40)))))</f>
        <v>40</v>
      </c>
      <c r="G268" s="7"/>
      <c r="J268" s="215">
        <f>AVERAGE(J265,J266,J267)</f>
        <v>80</v>
      </c>
      <c r="L268" s="23"/>
      <c r="M268" s="442" t="s">
        <v>402</v>
      </c>
      <c r="N268" s="447">
        <f>+D296</f>
        <v>60</v>
      </c>
    </row>
    <row r="269" spans="1:39" ht="15" thickTop="1" thickBot="1">
      <c r="A269" s="50" t="s">
        <v>158</v>
      </c>
      <c r="B269" s="368">
        <v>0.25</v>
      </c>
      <c r="C269" s="217">
        <f>+B269*F274</f>
        <v>19.399999999999999</v>
      </c>
      <c r="D269" s="217">
        <f>+B269*G274</f>
        <v>25</v>
      </c>
      <c r="F269" s="215">
        <f>F265*0.4 + F266*0.3 + F267*0.15+F268*0.15</f>
        <v>21</v>
      </c>
      <c r="G269" s="7"/>
      <c r="M269" s="49" t="s">
        <v>157</v>
      </c>
      <c r="N269">
        <f>IF(B284&lt;30,100,IF(B284&lt;45,90,IF(B284&lt;60,75,IF(B284&lt;75,60,IF(B284&lt;90,40,20)))))</f>
        <v>100</v>
      </c>
    </row>
    <row r="270" spans="1:39" ht="16.149999999999999" thickBot="1">
      <c r="A270" s="377" t="s">
        <v>360</v>
      </c>
      <c r="B270" s="378">
        <f>+(C265+C266+C267+C268+C269)*10</f>
        <v>561.25</v>
      </c>
      <c r="I270" s="416" t="s">
        <v>160</v>
      </c>
      <c r="J270" s="416"/>
      <c r="M270" s="49" t="s">
        <v>159</v>
      </c>
      <c r="N270">
        <f>IF(AND(B285&gt;=30,B285&lt;=60),100,IF(OR(AND(B285&gt;=15,B285&lt;30),AND(B285&gt;60,B285&lt;=75)),70,20))</f>
        <v>20</v>
      </c>
    </row>
    <row r="271" spans="1:39" ht="16.149999999999999" thickBot="1">
      <c r="A271" s="44" t="s">
        <v>361</v>
      </c>
      <c r="B271" s="379">
        <f>+(C265+C266+C267+C268+D269)*10</f>
        <v>617.25</v>
      </c>
      <c r="C271" s="384" t="str">
        <f>IF(B271&gt;=850,"Excelente Candidato",
IF(B271&gt;=700,"Aprobación",
IF(B271&gt;=550,"Aprobar con Aval",
IF(B271&gt;=500,"Revisar con Obligado",IF(B271&gt;=400,"Solicitar Aval * Depósitos","Sugerenica Rechazo")))))</f>
        <v>Aprobar con Aval</v>
      </c>
      <c r="E271" s="417" t="s">
        <v>161</v>
      </c>
      <c r="F271" s="417"/>
      <c r="G271" s="23" t="s">
        <v>162</v>
      </c>
      <c r="I271" s="49" t="s">
        <v>163</v>
      </c>
      <c r="J271">
        <f>IF(B302&lt;1500,100,IF(B302&lt;2000,50,IF(B302&lt;2500,25,IF(B302&lt;3500,0,IF(B302&gt;=3500,-30,)))))</f>
        <v>100</v>
      </c>
      <c r="M271" s="49" t="str">
        <f>+A290</f>
        <v>Coeficiente Variacion Flujo</v>
      </c>
      <c r="N271">
        <f>IF(B280&lt;0,IF(B290&gt;2,-30,0),IF(B290&lt;1,100,IF(B290&lt;2,70,IF(B290&lt;3,40,IF(B290&lt;4,30,IF(B290&lt;5,0,-30))))))</f>
        <v>40</v>
      </c>
    </row>
    <row r="272" spans="1:39" ht="15" thickTop="1" thickBot="1">
      <c r="A272" s="8" t="s">
        <v>164</v>
      </c>
      <c r="B272" s="383" t="str">
        <f>IF(B271&gt;=850,"Muy poco riesgo",
IF(B271&gt;=700,"Riesgo Bajo",
IF(B271&gt;=600,"Riesgo aceptable",
IF(B271&gt;=500,"Riesgo Medio",IF(B271&gt;=400,"Riesgo Alto","Riesgo muy Alto")))))</f>
        <v>Riesgo aceptable</v>
      </c>
      <c r="C272" s="318" t="str">
        <f>+IF(B301="RECHAZAR","RECHAZAR",IF(B307="ALERTA","ALERTA","NO en listas negras"))</f>
        <v>NO en listas negras</v>
      </c>
      <c r="E272" s="49" t="s">
        <v>165</v>
      </c>
      <c r="F272">
        <f>IF(B308&gt;=330,100,IF(B308&gt;=300,80,IF(B308&gt;=270,72,IF(B308&gt;=240,68,IF(B308&gt;=220,64,IF(B308&gt;=200,40,IF(B308&gt;=180,10,IF(B308="",30,0))))))))</f>
        <v>68</v>
      </c>
      <c r="G272" s="2" t="s">
        <v>166</v>
      </c>
      <c r="I272" s="442" t="s">
        <v>403</v>
      </c>
      <c r="J272" s="23">
        <f>IF(B304&lt;0.025,100,IF(B304&lt;0.05,80,IF(B304&lt;0.075,50,IF(B304&lt;0.1,0,IF(B304&lt;0.15,-20,IF(B304&gt;0.25,-30,-40))))))</f>
        <v>100</v>
      </c>
      <c r="N272" s="357">
        <f>(N265*0.025)+(N266*0.025)+(N267*0.3)+(N268*0.15)+(N269*0.15)+(N270*0.1)+(N271*0.25)</f>
        <v>63.5</v>
      </c>
    </row>
    <row r="273" spans="1:13" ht="15" thickTop="1" thickBot="1">
      <c r="A273" s="8" t="s">
        <v>136</v>
      </c>
      <c r="B273" s="319" t="str">
        <f>+C323</f>
        <v>Negativo</v>
      </c>
      <c r="C273" s="320" t="str">
        <f>+B310</f>
        <v>NO FACHADA</v>
      </c>
      <c r="E273" s="8" t="str">
        <f>+A286</f>
        <v>CxP / Flujo Operativo</v>
      </c>
      <c r="F273" s="23">
        <f>IF(B286&lt;=0, -30, IF(B286&lt;1, 100, IF(B286&lt;2, 70, IF(B286&lt;3, 40, IF(B286&lt;5, 30, 0)))))</f>
        <v>100</v>
      </c>
      <c r="G273" s="385">
        <f>IF(B280&lt;0, -20, IF(B286&lt;1, 100, IF(B286&lt;2, 70, IF(B286&lt;3, 40, IF(B286&lt;5, 30, 0)))))</f>
        <v>100</v>
      </c>
      <c r="I273" s="49" t="s">
        <v>168</v>
      </c>
      <c r="J273">
        <f>IF(B305&lt;0.05,100,
IF(B305&lt;0.1,80,IF(B305&lt;0.2,50,IF(B305&lt;0.4,0,-40))))</f>
        <v>100</v>
      </c>
      <c r="L273" t="s">
        <v>169</v>
      </c>
    </row>
    <row r="274" spans="1:13" ht="15" thickTop="1" thickBot="1">
      <c r="A274" s="8" t="s">
        <v>156</v>
      </c>
      <c r="B274" s="321" t="str">
        <f>+B303</f>
        <v>OK</v>
      </c>
      <c r="C274" s="322" t="str">
        <f>+C320</f>
        <v>Flujo Insuficiente</v>
      </c>
      <c r="F274" s="214">
        <f>(F272*0.7)+(F273*0.3)</f>
        <v>77.599999999999994</v>
      </c>
      <c r="G274" s="214">
        <f>(G273*1)</f>
        <v>100</v>
      </c>
      <c r="J274" s="215">
        <f>AVERAGE(J271,J272,J273)</f>
        <v>100</v>
      </c>
      <c r="L274" t="s">
        <v>102</v>
      </c>
      <c r="M274" t="s">
        <v>103</v>
      </c>
    </row>
    <row r="275" spans="1:13">
      <c r="L275" t="s">
        <v>150</v>
      </c>
      <c r="M275" t="s">
        <v>170</v>
      </c>
    </row>
    <row r="276" spans="1:13" ht="21.4" thickBot="1">
      <c r="A276" s="51" t="s">
        <v>171</v>
      </c>
      <c r="B276" s="52" t="s">
        <v>172</v>
      </c>
      <c r="D276" s="53"/>
      <c r="L276" t="s">
        <v>173</v>
      </c>
      <c r="M276" t="s">
        <v>170</v>
      </c>
    </row>
    <row r="277" spans="1:13" ht="14.65" thickBot="1">
      <c r="A277" s="55" t="s">
        <v>174</v>
      </c>
      <c r="B277" s="56" t="s">
        <v>175</v>
      </c>
      <c r="C277" s="56" t="s">
        <v>176</v>
      </c>
      <c r="D277" s="56" t="s">
        <v>177</v>
      </c>
      <c r="E277" s="56" t="s">
        <v>178</v>
      </c>
      <c r="L277" t="s">
        <v>179</v>
      </c>
      <c r="M277" t="s">
        <v>170</v>
      </c>
    </row>
    <row r="278" spans="1:13">
      <c r="A278" t="s">
        <v>180</v>
      </c>
      <c r="B278" s="358">
        <f>AVERAGE(C258:N258)</f>
        <v>349368.12833333336</v>
      </c>
      <c r="C278" s="359">
        <f>AVERAGE(C258:AL258)</f>
        <v>131505.14666666667</v>
      </c>
      <c r="D278" s="2" t="str">
        <f>IF(B278/B279&gt;1.5,"Bien",IF(B278/B279&gt;1.3,"Ok",IF(B278/B279&gt;1.2,"Revisar",IF(B278/B279&gt;1.15,"Muy Bajo","Alerta"))))</f>
        <v>Alerta</v>
      </c>
      <c r="E278" s="57" t="s">
        <v>181</v>
      </c>
      <c r="L278" t="s">
        <v>182</v>
      </c>
      <c r="M278" t="s">
        <v>183</v>
      </c>
    </row>
    <row r="279" spans="1:13">
      <c r="A279" t="s">
        <v>184</v>
      </c>
      <c r="B279" s="358">
        <f>AVERAGE(C259:N259)</f>
        <v>323774.41833333339</v>
      </c>
      <c r="C279" s="359">
        <f>AVERAGE(C259:AL259)</f>
        <v>122436.69833333332</v>
      </c>
      <c r="D279" s="53" t="str">
        <f>IF(B279/B278&lt;0.6,"Bien",IF(B279/B278&lt;0.76,"Ok",IF(B279/B278&lt;0.8,"Revisar",IF(B279/B278&lt;0.89,"Riesgo","Alerta"))))</f>
        <v>Alerta</v>
      </c>
      <c r="E279" s="57" t="s">
        <v>185</v>
      </c>
      <c r="L279" t="s">
        <v>186</v>
      </c>
      <c r="M279" t="s">
        <v>183</v>
      </c>
    </row>
    <row r="280" spans="1:13">
      <c r="A280" t="s">
        <v>187</v>
      </c>
      <c r="B280" s="358">
        <f>AVERAGE(C260:N260)</f>
        <v>13515.226666666667</v>
      </c>
      <c r="C280" s="359">
        <f>AVERAGE(C260:AL260)</f>
        <v>4343.5033333333331</v>
      </c>
      <c r="D280" s="53" t="str">
        <f>IF(B280/B319&gt;2,"Bien",IF(B280/B319&gt;1.5,"Ok",IF(B280/B319&gt;1.2,"Revisión","Alerta")))</f>
        <v>Alerta</v>
      </c>
      <c r="E280" s="57" t="s">
        <v>188</v>
      </c>
    </row>
    <row r="281" spans="1:13">
      <c r="A281" t="s">
        <v>189</v>
      </c>
      <c r="B281" s="359">
        <f>B280*IF(B280&gt;=0, B329, 1+(1-B329))</f>
        <v>9460.6586666666662</v>
      </c>
      <c r="C281" s="359">
        <f>C280*IF(C280&gt;=0, B329, 1+(1-B329))</f>
        <v>3040.4523333333332</v>
      </c>
      <c r="D281" s="2" t="str">
        <f>IF(B281/B319&gt;2,"Bien",IF(B281/B319&gt;1.5,"Ok",IF(B281/B319&gt;1.2,"Revisión","Alerta")))</f>
        <v>Alerta</v>
      </c>
      <c r="E281" s="57" t="s">
        <v>190</v>
      </c>
    </row>
    <row r="282" spans="1:13">
      <c r="A282" t="s">
        <v>191</v>
      </c>
      <c r="B282" s="22">
        <f>AVERAGE(C261:N261)</f>
        <v>14470.755833333331</v>
      </c>
      <c r="C282" s="359">
        <f>AVERAGE(C261:AL261)</f>
        <v>4952.474166666666</v>
      </c>
      <c r="E282" s="9" t="s">
        <v>192</v>
      </c>
    </row>
    <row r="283" spans="1:13">
      <c r="A283" t="s">
        <v>193</v>
      </c>
      <c r="B283" s="22">
        <f>AVERAGE(C262:N262)</f>
        <v>4338.5183333333334</v>
      </c>
      <c r="C283" s="359">
        <f>AVERAGE(C262:AL262)</f>
        <v>1482.1277777777777</v>
      </c>
      <c r="E283" s="9" t="s">
        <v>194</v>
      </c>
    </row>
    <row r="284" spans="1:13">
      <c r="A284" t="s">
        <v>195</v>
      </c>
      <c r="B284" s="360">
        <f>+(B282/B278)*30</f>
        <v>1.2425938137831565</v>
      </c>
      <c r="C284" s="360">
        <f>+(C282/C278)*30</f>
        <v>1.1297977970139772</v>
      </c>
      <c r="D284" s="10" t="str">
        <f>+IF(B284&gt;B285,"Financia a Proveedores", "Proveedores la Financian")</f>
        <v>Financia a Proveedores</v>
      </c>
      <c r="E284" s="9" t="s">
        <v>196</v>
      </c>
    </row>
    <row r="285" spans="1:13">
      <c r="A285" t="s">
        <v>197</v>
      </c>
      <c r="B285" s="360">
        <f>+(B283/B279)*30</f>
        <v>0.40199454506007881</v>
      </c>
      <c r="C285" s="360">
        <f>+(C283/C279)*30</f>
        <v>0.36315772916614236</v>
      </c>
      <c r="D285" s="10" t="str">
        <f>+IF(B285&gt;B284,"Proveedores la Financian","Financia a Proveedores")</f>
        <v>Financia a Proveedores</v>
      </c>
      <c r="E285" s="9" t="s">
        <v>196</v>
      </c>
    </row>
    <row r="286" spans="1:13">
      <c r="A286" t="s">
        <v>198</v>
      </c>
      <c r="B286" s="208">
        <f>+((B283*4.5)/(B280*12))</f>
        <v>0.12037862295070646</v>
      </c>
      <c r="C286" s="208">
        <f>+(C283*4.5)/(C280*12)</f>
        <v>0.12796074367004823</v>
      </c>
      <c r="D286" s="59">
        <f>IF(B286&lt;=0,"ALERTA",(B283*4.5)/(B280*12))</f>
        <v>0.12037862295070646</v>
      </c>
      <c r="E286" s="57" t="s">
        <v>346</v>
      </c>
      <c r="I286" t="s">
        <v>199</v>
      </c>
    </row>
    <row r="287" spans="1:13">
      <c r="A287" t="s">
        <v>200</v>
      </c>
      <c r="B287" s="427"/>
      <c r="C287" s="360"/>
      <c r="E287" t="s">
        <v>201</v>
      </c>
    </row>
    <row r="288" spans="1:13">
      <c r="A288" t="s">
        <v>202</v>
      </c>
      <c r="B288" s="60">
        <f>(B280/B278)</f>
        <v>3.8684772795793618E-2</v>
      </c>
      <c r="C288" s="60">
        <f>(C280/C278)</f>
        <v>3.3029150899645393E-2</v>
      </c>
      <c r="D288" s="2">
        <f>IF(B288&lt;=0,"ALERTA",(B285*4.5)/(B282*12))</f>
        <v>1.0417420909713798E-5</v>
      </c>
      <c r="E288" s="57" t="s">
        <v>203</v>
      </c>
    </row>
    <row r="289" spans="1:5">
      <c r="A289" t="s">
        <v>362</v>
      </c>
      <c r="B289" s="381">
        <f>_xlfn.STDEV.P(C260:N260)</f>
        <v>29083.924509855187</v>
      </c>
      <c r="C289" s="381">
        <f>_xlfn.STDEV.P(C260:AL260)</f>
        <v>18040.452578293316</v>
      </c>
      <c r="E289" s="57" t="s">
        <v>204</v>
      </c>
    </row>
    <row r="290" spans="1:5">
      <c r="A290" t="s">
        <v>205</v>
      </c>
      <c r="B290" s="382">
        <f>ABS(B289/B280)</f>
        <v>2.1519376054259185</v>
      </c>
      <c r="C290" s="366">
        <f>C289/C280</f>
        <v>4.1534335751156286</v>
      </c>
      <c r="D290" s="57"/>
      <c r="E290" s="57" t="s">
        <v>370</v>
      </c>
    </row>
    <row r="291" spans="1:5">
      <c r="A291" t="s">
        <v>371</v>
      </c>
      <c r="B291" s="60">
        <f>(B289/B278)</f>
        <v>8.3247217336625837E-2</v>
      </c>
      <c r="C291" s="60">
        <f>+(C289/C278)</f>
        <v>0.13718438430414776</v>
      </c>
      <c r="D291" s="2" t="str">
        <f>+IF(B291&lt;20%,"Estables",IF(B291&lt;40%,"Normal",IF(B291&gt;40%,"Volatil")))</f>
        <v>Estables</v>
      </c>
      <c r="E291" s="57" t="s">
        <v>207</v>
      </c>
    </row>
    <row r="292" spans="1:5">
      <c r="A292" t="s">
        <v>208</v>
      </c>
      <c r="B292" s="361">
        <f>COUNTIF(E258:P258,"&gt;0")</f>
        <v>12</v>
      </c>
      <c r="C292" s="362">
        <f>COUNTIF(E258:AN258,"&gt;0")</f>
        <v>12</v>
      </c>
      <c r="E292" s="57" t="s">
        <v>209</v>
      </c>
    </row>
    <row r="293" spans="1:5">
      <c r="A293" t="s">
        <v>210</v>
      </c>
      <c r="B293" s="363">
        <f>B292/12</f>
        <v>1</v>
      </c>
      <c r="C293" s="363">
        <f>C292/36</f>
        <v>0.33333333333333331</v>
      </c>
      <c r="D293" s="2" t="str">
        <f>+IF(B293&gt;90%,"Estable",IF(B293&gt;50%,"Intermitente",IF(B293&lt;50%,"Riesgoso")))</f>
        <v>Estable</v>
      </c>
      <c r="E293" s="57" t="s">
        <v>211</v>
      </c>
    </row>
    <row r="294" spans="1:5">
      <c r="A294" s="203"/>
      <c r="B294" s="204"/>
      <c r="C294" s="204"/>
      <c r="D294" s="205"/>
      <c r="E294" s="206"/>
    </row>
    <row r="295" spans="1:5">
      <c r="A295" t="s">
        <v>212</v>
      </c>
      <c r="B295" s="60">
        <f>AVERAGE(C258:H258)/AVERAGE(I258:N258)-1</f>
        <v>0.11049618547432472</v>
      </c>
      <c r="C295" s="60" t="e">
        <f>AVERAGE(C258:T258)/AVERAGE(U258:AL258)-1</f>
        <v>#DIV/0!</v>
      </c>
      <c r="D295" s="2" t="str">
        <f>+IF(B295&gt;15%,"Bueno",IF(B295&gt;5%,"Estable",IF(B295&gt;1%,"Bajo",IF(B295&gt;-10%,"Alerta","Deterioro"))))</f>
        <v>Estable</v>
      </c>
      <c r="E295" s="9" t="s">
        <v>213</v>
      </c>
    </row>
    <row r="296" spans="1:5" ht="14.65" thickBot="1">
      <c r="A296" s="23" t="s">
        <v>401</v>
      </c>
      <c r="B296" s="439">
        <f>AVERAGE(C259:H259)/AVERAGE(I259:N259)-1</f>
        <v>8.4783930347347436E-2</v>
      </c>
      <c r="C296" s="439" t="e">
        <f>AVERAGE(C259:T259)/AVERAGE(U259:AL259)-1</f>
        <v>#DIV/0!</v>
      </c>
      <c r="D296" s="440">
        <f>IF(B296&gt;B295,-20,IF(B296&lt;0,100,IF(B296&lt;=B295*0.5,80,IF(B296&lt;=B295,60,30))))</f>
        <v>60</v>
      </c>
    </row>
    <row r="297" spans="1:5" ht="14.65" thickBot="1">
      <c r="A297" s="55" t="s">
        <v>214</v>
      </c>
      <c r="B297" s="61" t="s">
        <v>215</v>
      </c>
      <c r="C297" s="56" t="s">
        <v>178</v>
      </c>
      <c r="D297" s="411"/>
    </row>
    <row r="298" spans="1:5">
      <c r="A298" s="16" t="s">
        <v>216</v>
      </c>
      <c r="B298" s="62">
        <v>16</v>
      </c>
      <c r="C298" s="1" t="s">
        <v>217</v>
      </c>
    </row>
    <row r="299" spans="1:5">
      <c r="A299" s="3" t="s">
        <v>218</v>
      </c>
      <c r="B299" s="25">
        <v>16</v>
      </c>
      <c r="C299" s="1" t="s">
        <v>219</v>
      </c>
    </row>
    <row r="300" spans="1:5">
      <c r="A300" s="3" t="s">
        <v>220</v>
      </c>
      <c r="B300" s="25">
        <v>0</v>
      </c>
      <c r="C300" s="1" t="s">
        <v>221</v>
      </c>
    </row>
    <row r="301" spans="1:5">
      <c r="A301" s="3" t="s">
        <v>222</v>
      </c>
      <c r="B301" s="4" t="str">
        <f>IF(B300=1,"RECHAZAR","NO")</f>
        <v>NO</v>
      </c>
      <c r="C301" s="1" t="s">
        <v>223</v>
      </c>
    </row>
    <row r="302" spans="1:5">
      <c r="A302" s="3" t="s">
        <v>224</v>
      </c>
      <c r="B302" s="65">
        <v>299</v>
      </c>
      <c r="C302" s="1" t="s">
        <v>225</v>
      </c>
    </row>
    <row r="303" spans="1:5">
      <c r="A303" s="3" t="s">
        <v>226</v>
      </c>
      <c r="B303" s="323" t="str">
        <f>IF(B302&gt;1500,"ALERTA CONCENTRACION","OK")</f>
        <v>OK</v>
      </c>
      <c r="C303" s="1" t="s">
        <v>227</v>
      </c>
    </row>
    <row r="304" spans="1:5">
      <c r="A304" s="443" t="s">
        <v>403</v>
      </c>
      <c r="B304" s="448">
        <v>0.01</v>
      </c>
      <c r="C304" s="1" t="s">
        <v>229</v>
      </c>
    </row>
    <row r="305" spans="1:9">
      <c r="A305" s="3" t="s">
        <v>230</v>
      </c>
      <c r="B305" s="67">
        <v>6.1799999999999995E-4</v>
      </c>
      <c r="C305" s="1" t="s">
        <v>231</v>
      </c>
    </row>
    <row r="306" spans="1:9">
      <c r="A306" s="3" t="s">
        <v>232</v>
      </c>
      <c r="B306" s="67">
        <v>7.0000000000000007E-2</v>
      </c>
      <c r="C306" s="1" t="s">
        <v>233</v>
      </c>
    </row>
    <row r="307" spans="1:9">
      <c r="A307" s="3" t="s">
        <v>234</v>
      </c>
      <c r="B307" s="68" t="str">
        <f>IF(B306&gt;0.2,"ALERTA","OK")</f>
        <v>OK</v>
      </c>
      <c r="C307" s="1" t="s">
        <v>177</v>
      </c>
    </row>
    <row r="308" spans="1:9">
      <c r="A308" s="3" t="s">
        <v>235</v>
      </c>
      <c r="B308" s="69">
        <v>263</v>
      </c>
      <c r="C308" s="1" t="s">
        <v>372</v>
      </c>
      <c r="I308" t="s">
        <v>373</v>
      </c>
    </row>
    <row r="309" spans="1:9">
      <c r="A309" s="3" t="s">
        <v>236</v>
      </c>
      <c r="B309" s="68" t="str">
        <f>IF(B308&gt;175,"NO",IF(B308="","Sin Buró","RECHAZAR"))</f>
        <v>NO</v>
      </c>
      <c r="C309" s="1" t="s">
        <v>177</v>
      </c>
    </row>
    <row r="310" spans="1:9" ht="14.65" thickBot="1">
      <c r="A310" s="6" t="s">
        <v>237</v>
      </c>
      <c r="B310" s="317" t="str">
        <f>IF(AND(B306&gt;0.1, B295&gt;0.5, B302&gt;3500),"Fachada RECHAZAR","NO FACHADA")</f>
        <v>NO FACHADA</v>
      </c>
      <c r="C310" s="1" t="s">
        <v>238</v>
      </c>
    </row>
    <row r="311" spans="1:9" ht="14.65" thickBot="1">
      <c r="A311" s="3" t="s">
        <v>239</v>
      </c>
      <c r="B311" s="69">
        <v>611</v>
      </c>
    </row>
    <row r="312" spans="1:9" ht="14.65" thickBot="1">
      <c r="A312" s="412" t="s">
        <v>240</v>
      </c>
      <c r="B312" s="413"/>
      <c r="C312" s="56" t="s">
        <v>177</v>
      </c>
      <c r="D312" s="56" t="s">
        <v>178</v>
      </c>
    </row>
    <row r="313" spans="1:9">
      <c r="A313" s="16" t="s">
        <v>241</v>
      </c>
      <c r="B313" s="70">
        <f>894200+23676.05</f>
        <v>917876.05</v>
      </c>
      <c r="D313" s="1" t="s">
        <v>242</v>
      </c>
    </row>
    <row r="314" spans="1:9">
      <c r="A314" s="3" t="s">
        <v>243</v>
      </c>
      <c r="B314" s="71">
        <f>45000-31000</f>
        <v>14000</v>
      </c>
      <c r="D314" s="1" t="s">
        <v>244</v>
      </c>
    </row>
    <row r="315" spans="1:9">
      <c r="A315" s="3" t="s">
        <v>245</v>
      </c>
      <c r="B315" s="71">
        <v>192715.51999999999</v>
      </c>
      <c r="D315" s="1" t="s">
        <v>245</v>
      </c>
    </row>
    <row r="316" spans="1:9">
      <c r="A316" s="3" t="s">
        <v>246</v>
      </c>
      <c r="B316" s="251">
        <f>B313-B314</f>
        <v>903876.05</v>
      </c>
      <c r="D316" s="1" t="s">
        <v>247</v>
      </c>
    </row>
    <row r="317" spans="1:9">
      <c r="A317" s="3" t="s">
        <v>248</v>
      </c>
      <c r="B317" s="25">
        <v>48</v>
      </c>
    </row>
    <row r="318" spans="1:9">
      <c r="A318" s="3" t="s">
        <v>83</v>
      </c>
      <c r="B318" s="72">
        <f>+IF(B317&lt;24,30.2%,IF(B317&lt;36,26%,IF(B317&lt;48,24.55%,IF(B317&lt;60,23.82%,"0%"))))</f>
        <v>0.2382</v>
      </c>
      <c r="D318" s="73"/>
    </row>
    <row r="319" spans="1:9">
      <c r="A319" s="3" t="s">
        <v>249</v>
      </c>
      <c r="B319" s="216">
        <f>+PMT(B318/12,B317,-B316,B315)</f>
        <v>26939.830686875088</v>
      </c>
      <c r="C319" s="2" t="str">
        <f>IF(B320/B319&gt;2,"Bien",IF(B320/B319&gt;1.5,"Ok",IF(B320/B319&gt;1.2,"Alerta","Le falta Flujo")))</f>
        <v>Le falta Flujo</v>
      </c>
      <c r="D319" s="1" t="s">
        <v>250</v>
      </c>
    </row>
    <row r="320" spans="1:9">
      <c r="A320" s="3" t="s">
        <v>189</v>
      </c>
      <c r="B320" s="216">
        <f>B281</f>
        <v>9460.6586666666662</v>
      </c>
      <c r="C320" s="2" t="str">
        <f>IF(B281/B319&gt;2,"Buen Flujo",IF(B281/B319&gt;1.5,"Ok Flujo",IF(B281/B319&gt;1.1,"Flujo muy Justo","Flujo Insuficiente")))</f>
        <v>Flujo Insuficiente</v>
      </c>
      <c r="D320" s="1" t="s">
        <v>251</v>
      </c>
    </row>
    <row r="321" spans="1:13">
      <c r="A321" s="3" t="s">
        <v>252</v>
      </c>
      <c r="B321" s="364">
        <f>+(B320/B319)</f>
        <v>0.35117736175215974</v>
      </c>
      <c r="C321" s="2" t="str">
        <f>+IF(B321&gt;1.5,"Comodo",IF(B321&gt;1.1,"Aceptable",IF(B321&lt;1.1,"Rechazo")))</f>
        <v>Rechazo</v>
      </c>
      <c r="D321" t="s">
        <v>374</v>
      </c>
    </row>
    <row r="322" spans="1:13">
      <c r="A322" s="3" t="s">
        <v>253</v>
      </c>
      <c r="B322" s="289">
        <f>IF(B317&lt;=24,$B$584,IF(B317&lt;=36,$B$585,IF(B317&lt;=48,$B$586,$B$587)))</f>
        <v>2.5</v>
      </c>
      <c r="D322" t="s">
        <v>254</v>
      </c>
    </row>
    <row r="323" spans="1:13">
      <c r="A323" s="3" t="s">
        <v>255</v>
      </c>
      <c r="B323" s="365"/>
      <c r="C323" s="4" t="str">
        <f>IF(B321&gt;B322,"Suficiente",IF(B321&lt;1,"Negativo","AVAL"))</f>
        <v>Negativo</v>
      </c>
      <c r="D323" t="s">
        <v>256</v>
      </c>
    </row>
    <row r="324" spans="1:13">
      <c r="A324" s="3" t="s">
        <v>257</v>
      </c>
      <c r="B324" s="72">
        <f>+B313/SUM(D258:O258)</f>
        <v>0.22659288375503481</v>
      </c>
      <c r="C324" s="2" t="str">
        <f>IF(B324&lt;0.1,"Excelente",IF(B324&lt;0.2,"Bien",IF(B324&lt;0.3,"Ok",IF(B324&lt;0.6,"Revisar",IF(B324&lt;0.9,"Alerta","Sobrepasado")))))</f>
        <v>Ok</v>
      </c>
      <c r="D324" t="s">
        <v>375</v>
      </c>
    </row>
    <row r="325" spans="1:13">
      <c r="A325" s="3" t="s">
        <v>258</v>
      </c>
      <c r="B325" s="216">
        <f>B320/B322</f>
        <v>3784.2634666666663</v>
      </c>
      <c r="C325" s="74" t="str">
        <f>IF(B325/B319&gt;4,"Ok",IF(B325/B319&gt;2,"OK",IF((B325/B319)&gt;1.2,"Renta con Riesgo",IF(B325/B319&lt;1.1,"No Otorgar"))))</f>
        <v>No Otorgar</v>
      </c>
      <c r="D325" t="s">
        <v>259</v>
      </c>
      <c r="G325">
        <f>+B325/B319</f>
        <v>0.14047094470086388</v>
      </c>
    </row>
    <row r="326" spans="1:13" ht="14.65" thickBot="1">
      <c r="A326" s="6" t="s">
        <v>260</v>
      </c>
      <c r="B326" s="367">
        <f>IF(B320&lt;0, 0, PV(B318/12,B317,-B325))</f>
        <v>116430.25981237764</v>
      </c>
      <c r="C326" s="2" t="str">
        <f>+IF(B326/B313&gt;1,"Otorgar",IF(B326/B313&gt;0.75,"Revision","No Otorgar"))</f>
        <v>No Otorgar</v>
      </c>
      <c r="D326" t="s">
        <v>261</v>
      </c>
    </row>
    <row r="327" spans="1:13" ht="14.65" thickBot="1"/>
    <row r="328" spans="1:13">
      <c r="A328" s="47" t="s">
        <v>262</v>
      </c>
      <c r="B328" s="48" t="s">
        <v>263</v>
      </c>
    </row>
    <row r="329" spans="1:13">
      <c r="A329" s="24" t="s">
        <v>264</v>
      </c>
      <c r="B329" s="25">
        <v>0.7</v>
      </c>
      <c r="M329" t="s">
        <v>265</v>
      </c>
    </row>
    <row r="330" spans="1:13">
      <c r="A330" s="24" t="s">
        <v>80</v>
      </c>
      <c r="B330" s="25">
        <v>3</v>
      </c>
      <c r="D330" t="s">
        <v>254</v>
      </c>
    </row>
    <row r="331" spans="1:13">
      <c r="A331" s="24" t="s">
        <v>85</v>
      </c>
      <c r="B331" s="25">
        <v>2.75</v>
      </c>
      <c r="D331" t="s">
        <v>254</v>
      </c>
    </row>
    <row r="332" spans="1:13">
      <c r="A332" s="24" t="s">
        <v>87</v>
      </c>
      <c r="B332" s="25">
        <v>2.5</v>
      </c>
      <c r="D332" t="s">
        <v>254</v>
      </c>
    </row>
    <row r="333" spans="1:13">
      <c r="A333" s="24" t="s">
        <v>88</v>
      </c>
      <c r="B333" s="25">
        <v>2.25</v>
      </c>
      <c r="D333" t="s">
        <v>254</v>
      </c>
    </row>
    <row r="334" spans="1:13">
      <c r="A334" s="24" t="s">
        <v>266</v>
      </c>
      <c r="B334" s="25">
        <v>6</v>
      </c>
      <c r="D334" t="s">
        <v>267</v>
      </c>
    </row>
    <row r="335" spans="1:13">
      <c r="A335" s="24" t="s">
        <v>268</v>
      </c>
      <c r="B335" s="25">
        <v>-10</v>
      </c>
      <c r="D335" t="s">
        <v>269</v>
      </c>
    </row>
    <row r="336" spans="1:13" ht="14.65" thickBot="1">
      <c r="A336" s="50" t="s">
        <v>270</v>
      </c>
      <c r="B336" s="75">
        <v>-30</v>
      </c>
      <c r="D336" t="s">
        <v>271</v>
      </c>
    </row>
    <row r="337" spans="1:39">
      <c r="A337" s="47"/>
      <c r="B337" s="48"/>
    </row>
    <row r="338" spans="1:39" ht="14.65" thickBot="1"/>
    <row r="339" spans="1:39" ht="27" thickBot="1">
      <c r="A339" s="391" t="s">
        <v>378</v>
      </c>
      <c r="B339" s="386"/>
      <c r="C339" s="386"/>
      <c r="D339" s="387"/>
      <c r="E339" s="388"/>
      <c r="F339" s="388"/>
      <c r="G339" s="388"/>
      <c r="H339" s="389"/>
      <c r="I339" s="386"/>
      <c r="J339" s="386"/>
      <c r="K339" s="386"/>
      <c r="L339" s="386"/>
      <c r="M339" s="386"/>
      <c r="N339" s="386"/>
      <c r="O339" s="386"/>
      <c r="P339" s="386"/>
      <c r="Q339" s="386"/>
      <c r="R339" s="386"/>
      <c r="S339" s="386"/>
      <c r="T339" s="386"/>
      <c r="U339" s="386"/>
      <c r="V339" s="386"/>
      <c r="W339" s="386"/>
      <c r="X339" s="386"/>
      <c r="Y339" s="386"/>
      <c r="Z339" s="386"/>
      <c r="AA339" s="386"/>
      <c r="AB339" s="386"/>
      <c r="AC339" s="386"/>
      <c r="AD339" s="386"/>
      <c r="AE339" s="386"/>
      <c r="AF339" s="386"/>
      <c r="AG339" s="386"/>
      <c r="AH339" s="386"/>
      <c r="AI339" s="386"/>
      <c r="AJ339" s="386"/>
      <c r="AK339" s="386"/>
      <c r="AL339" s="390"/>
    </row>
    <row r="340" spans="1:39" ht="14.65" thickBot="1">
      <c r="A340" s="30" t="s">
        <v>131</v>
      </c>
      <c r="C340" s="31">
        <v>46143</v>
      </c>
      <c r="D340" s="31">
        <v>46113</v>
      </c>
      <c r="E340" s="31">
        <v>46054</v>
      </c>
      <c r="F340" s="31">
        <f>+E340-1</f>
        <v>46053</v>
      </c>
      <c r="G340" s="31">
        <f>+F340-1</f>
        <v>46052</v>
      </c>
      <c r="H340" s="31">
        <f t="shared" ref="H340" si="124">+G340-1</f>
        <v>46051</v>
      </c>
      <c r="I340" s="31">
        <f t="shared" ref="I340" si="125">+H340-1</f>
        <v>46050</v>
      </c>
      <c r="J340" s="31">
        <f t="shared" ref="J340" si="126">+I340-1</f>
        <v>46049</v>
      </c>
      <c r="K340" s="31">
        <f t="shared" ref="K340" si="127">+J340-1</f>
        <v>46048</v>
      </c>
      <c r="L340" s="31">
        <f t="shared" ref="L340" si="128">+K340-1</f>
        <v>46047</v>
      </c>
      <c r="M340" s="31">
        <f t="shared" ref="M340" si="129">+L340-1</f>
        <v>46046</v>
      </c>
      <c r="N340" s="31">
        <f t="shared" ref="N340" si="130">+M340-1</f>
        <v>46045</v>
      </c>
      <c r="O340" s="31">
        <f t="shared" ref="O340" si="131">+N340-1</f>
        <v>46044</v>
      </c>
      <c r="P340" s="31">
        <f t="shared" ref="P340" si="132">+O340-1</f>
        <v>46043</v>
      </c>
      <c r="Q340" s="31">
        <f t="shared" ref="Q340" si="133">+P340-1</f>
        <v>46042</v>
      </c>
      <c r="R340" s="31">
        <f t="shared" ref="R340" si="134">+Q340-1</f>
        <v>46041</v>
      </c>
      <c r="S340" s="31">
        <f t="shared" ref="S340" si="135">+R340-1</f>
        <v>46040</v>
      </c>
      <c r="T340" s="31">
        <f t="shared" ref="T340" si="136">+S340-1</f>
        <v>46039</v>
      </c>
      <c r="U340" s="31">
        <f t="shared" ref="U340" si="137">+T340-1</f>
        <v>46038</v>
      </c>
      <c r="V340" s="31">
        <f t="shared" ref="V340" si="138">+U340-1</f>
        <v>46037</v>
      </c>
      <c r="W340" s="31">
        <f t="shared" ref="W340" si="139">+V340-1</f>
        <v>46036</v>
      </c>
      <c r="X340" s="31">
        <f t="shared" ref="X340" si="140">+W340-1</f>
        <v>46035</v>
      </c>
      <c r="Y340" s="31">
        <f t="shared" ref="Y340" si="141">+X340-1</f>
        <v>46034</v>
      </c>
      <c r="Z340" s="31">
        <f t="shared" ref="Z340" si="142">+Y340-1</f>
        <v>46033</v>
      </c>
      <c r="AA340" s="31">
        <f t="shared" ref="AA340" si="143">+Z340-1</f>
        <v>46032</v>
      </c>
      <c r="AB340" s="31">
        <f t="shared" ref="AB340" si="144">+AA340-1</f>
        <v>46031</v>
      </c>
      <c r="AC340" s="31">
        <f t="shared" ref="AC340" si="145">+AB340-1</f>
        <v>46030</v>
      </c>
      <c r="AD340" s="31">
        <f t="shared" ref="AD340" si="146">+AC340-1</f>
        <v>46029</v>
      </c>
      <c r="AE340" s="31">
        <f t="shared" ref="AE340" si="147">+AD340-1</f>
        <v>46028</v>
      </c>
      <c r="AF340" s="31">
        <f t="shared" ref="AF340" si="148">+AE340-1</f>
        <v>46027</v>
      </c>
      <c r="AG340" s="31">
        <f t="shared" ref="AG340" si="149">+AF340-1</f>
        <v>46026</v>
      </c>
      <c r="AH340" s="31">
        <f t="shared" ref="AH340" si="150">+AG340-1</f>
        <v>46025</v>
      </c>
      <c r="AI340" s="31">
        <f t="shared" ref="AI340" si="151">+AH340-1</f>
        <v>46024</v>
      </c>
      <c r="AJ340" s="31">
        <f t="shared" ref="AJ340" si="152">+AI340-1</f>
        <v>46023</v>
      </c>
      <c r="AK340" s="31">
        <f t="shared" ref="AK340" si="153">+AJ340-1</f>
        <v>46022</v>
      </c>
      <c r="AL340" s="31">
        <f t="shared" ref="AL340" si="154">+AK340-1</f>
        <v>46021</v>
      </c>
    </row>
    <row r="341" spans="1:39" ht="14.65" thickBot="1">
      <c r="A341" s="32" t="s">
        <v>132</v>
      </c>
      <c r="C341" s="33">
        <v>1</v>
      </c>
      <c r="D341" s="34">
        <v>2</v>
      </c>
      <c r="E341" s="34">
        <v>3</v>
      </c>
      <c r="F341" s="34">
        <v>4</v>
      </c>
      <c r="G341" s="34">
        <v>5</v>
      </c>
      <c r="H341" s="34">
        <v>6</v>
      </c>
      <c r="I341" s="34">
        <v>7</v>
      </c>
      <c r="J341" s="34">
        <v>8</v>
      </c>
      <c r="K341" s="34">
        <v>9</v>
      </c>
      <c r="L341" s="34">
        <v>10</v>
      </c>
      <c r="M341" s="34">
        <v>11</v>
      </c>
      <c r="N341" s="34">
        <v>12</v>
      </c>
      <c r="O341" s="34">
        <v>13</v>
      </c>
      <c r="P341" s="34">
        <v>14</v>
      </c>
      <c r="Q341" s="34">
        <v>15</v>
      </c>
      <c r="R341" s="34">
        <v>16</v>
      </c>
      <c r="S341" s="34">
        <v>17</v>
      </c>
      <c r="T341" s="34">
        <v>18</v>
      </c>
      <c r="U341" s="34">
        <v>19</v>
      </c>
      <c r="V341" s="34">
        <v>20</v>
      </c>
      <c r="W341" s="34">
        <v>21</v>
      </c>
      <c r="X341" s="34">
        <v>22</v>
      </c>
      <c r="Y341" s="34">
        <v>23</v>
      </c>
      <c r="Z341" s="34">
        <v>24</v>
      </c>
      <c r="AA341" s="34">
        <v>25</v>
      </c>
      <c r="AB341" s="34">
        <v>26</v>
      </c>
      <c r="AC341" s="34">
        <v>27</v>
      </c>
      <c r="AD341" s="34">
        <v>28</v>
      </c>
      <c r="AE341" s="34">
        <v>29</v>
      </c>
      <c r="AF341" s="34">
        <v>30</v>
      </c>
      <c r="AG341" s="34">
        <v>31</v>
      </c>
      <c r="AH341" s="34">
        <v>32</v>
      </c>
      <c r="AI341" s="34">
        <v>33</v>
      </c>
      <c r="AJ341" s="34">
        <v>34</v>
      </c>
      <c r="AK341" s="34">
        <v>35</v>
      </c>
      <c r="AL341" s="35">
        <v>36</v>
      </c>
      <c r="AM341">
        <v>37</v>
      </c>
    </row>
    <row r="342" spans="1:39">
      <c r="A342" s="36" t="s">
        <v>133</v>
      </c>
      <c r="B342" s="456" t="s">
        <v>134</v>
      </c>
      <c r="C342" s="37">
        <v>136263.6</v>
      </c>
      <c r="D342" s="37">
        <v>822230.1</v>
      </c>
      <c r="E342" s="37">
        <v>625747.63</v>
      </c>
      <c r="F342" s="37">
        <v>1931215.59</v>
      </c>
      <c r="G342" s="37">
        <v>303723.96999999997</v>
      </c>
      <c r="H342" s="37">
        <v>2182</v>
      </c>
      <c r="I342" s="37">
        <v>159756.74</v>
      </c>
      <c r="J342" s="37">
        <v>59922.31</v>
      </c>
      <c r="K342" s="37">
        <v>3173729.08</v>
      </c>
      <c r="L342" s="37">
        <v>1433751.06</v>
      </c>
      <c r="M342" s="37">
        <v>1130180.21</v>
      </c>
      <c r="N342" s="37">
        <v>2629335.02</v>
      </c>
      <c r="O342" s="37">
        <v>20516.099999999999</v>
      </c>
      <c r="P342" s="37">
        <v>1947290.53</v>
      </c>
      <c r="Q342" s="37">
        <v>104669.07</v>
      </c>
      <c r="R342" s="37">
        <v>309542.68</v>
      </c>
      <c r="S342" s="37">
        <v>1231770.23</v>
      </c>
      <c r="T342" s="37">
        <v>548416.37</v>
      </c>
      <c r="U342" s="37">
        <v>1028286.48</v>
      </c>
      <c r="V342" s="37">
        <v>822489.76</v>
      </c>
      <c r="W342" s="37">
        <v>344827.59</v>
      </c>
      <c r="X342" s="37">
        <v>117327.59</v>
      </c>
      <c r="Y342" s="37">
        <v>0</v>
      </c>
      <c r="Z342" s="37">
        <v>0</v>
      </c>
      <c r="AA342" s="37">
        <v>0</v>
      </c>
      <c r="AB342" s="37">
        <v>0</v>
      </c>
      <c r="AC342" s="37">
        <v>0</v>
      </c>
      <c r="AD342" s="37">
        <v>582317.75</v>
      </c>
      <c r="AE342" s="37">
        <v>280691.89</v>
      </c>
      <c r="AF342" s="37">
        <v>459387.93</v>
      </c>
      <c r="AG342" s="37">
        <v>0</v>
      </c>
      <c r="AH342" s="37">
        <v>0</v>
      </c>
      <c r="AI342" s="37">
        <v>0</v>
      </c>
      <c r="AJ342" s="37">
        <v>0</v>
      </c>
      <c r="AK342" s="37">
        <v>0</v>
      </c>
      <c r="AL342" s="37">
        <v>0</v>
      </c>
    </row>
    <row r="343" spans="1:39">
      <c r="A343" s="36" t="s">
        <v>135</v>
      </c>
      <c r="B343" s="457"/>
      <c r="C343" s="39">
        <v>585599.79</v>
      </c>
      <c r="D343" s="39">
        <v>475676.19</v>
      </c>
      <c r="E343" s="39">
        <v>736925.07</v>
      </c>
      <c r="F343" s="39">
        <v>858028.14</v>
      </c>
      <c r="G343" s="39">
        <v>480177.27</v>
      </c>
      <c r="H343" s="39">
        <v>919086.97</v>
      </c>
      <c r="I343" s="39">
        <v>961937.35</v>
      </c>
      <c r="J343" s="39">
        <v>816381.35</v>
      </c>
      <c r="K343" s="39">
        <v>1050451.3799999999</v>
      </c>
      <c r="L343" s="39">
        <v>1222697.17</v>
      </c>
      <c r="M343" s="39">
        <v>914877.9</v>
      </c>
      <c r="N343" s="39">
        <v>2449183.23</v>
      </c>
      <c r="O343" s="39">
        <v>1466744.8</v>
      </c>
      <c r="P343" s="39">
        <v>289885.21999999997</v>
      </c>
      <c r="Q343" s="39">
        <v>381994.37</v>
      </c>
      <c r="R343" s="39">
        <v>463780.27</v>
      </c>
      <c r="S343" s="39">
        <v>740995.36</v>
      </c>
      <c r="T343" s="39">
        <v>645591.64</v>
      </c>
      <c r="U343" s="39">
        <v>1584826.41</v>
      </c>
      <c r="V343" s="39">
        <v>1028866.63</v>
      </c>
      <c r="W343" s="39">
        <v>673039.81</v>
      </c>
      <c r="X343" s="39">
        <v>592635.31000000006</v>
      </c>
      <c r="Y343" s="39">
        <v>738663.69</v>
      </c>
      <c r="Z343" s="39">
        <v>985709.56</v>
      </c>
      <c r="AA343" s="39">
        <v>225983.09</v>
      </c>
      <c r="AB343" s="39">
        <v>729869.73</v>
      </c>
      <c r="AC343" s="39">
        <v>771273.53</v>
      </c>
      <c r="AD343" s="39">
        <v>744687.4</v>
      </c>
      <c r="AE343" s="39">
        <v>689794.22</v>
      </c>
      <c r="AF343" s="39">
        <v>692090.56</v>
      </c>
      <c r="AG343" s="39">
        <v>567431.85</v>
      </c>
      <c r="AH343" s="39">
        <v>359886.86</v>
      </c>
      <c r="AI343" s="39">
        <v>409375.73</v>
      </c>
      <c r="AJ343" s="39">
        <v>641285.24</v>
      </c>
      <c r="AK343" s="39">
        <v>1271113.49</v>
      </c>
      <c r="AL343" s="39">
        <v>976374.54</v>
      </c>
    </row>
    <row r="344" spans="1:39">
      <c r="A344" s="36" t="s">
        <v>136</v>
      </c>
      <c r="B344" s="457"/>
      <c r="C344" s="39">
        <v>-109897.78</v>
      </c>
      <c r="D344" s="39">
        <v>419216.19</v>
      </c>
      <c r="E344" s="39">
        <v>395296.94</v>
      </c>
      <c r="F344" s="39">
        <v>1017092.88</v>
      </c>
      <c r="G344" s="39">
        <v>-114909.53</v>
      </c>
      <c r="H344" s="39">
        <v>-914197.06</v>
      </c>
      <c r="I344" s="39">
        <v>-352160.19</v>
      </c>
      <c r="J344" s="39">
        <v>-754701.5</v>
      </c>
      <c r="K344" s="39">
        <v>2492256.25</v>
      </c>
      <c r="L344" s="39">
        <v>-49304.69</v>
      </c>
      <c r="M344" s="39">
        <v>491054.44</v>
      </c>
      <c r="N344" s="39">
        <v>239812</v>
      </c>
      <c r="O344" s="39">
        <v>-862667.63</v>
      </c>
      <c r="P344" s="39">
        <v>1151691.19</v>
      </c>
      <c r="Q344" s="39">
        <v>-37973.339999999997</v>
      </c>
      <c r="R344" s="39">
        <v>-386516.5</v>
      </c>
      <c r="S344" s="39">
        <v>537286.68999999994</v>
      </c>
      <c r="T344" s="39">
        <v>-55175.88</v>
      </c>
      <c r="U344" s="39">
        <v>-298715.38</v>
      </c>
      <c r="V344" s="39">
        <v>-392095.25</v>
      </c>
      <c r="W344" s="39">
        <v>-334553.59000000003</v>
      </c>
      <c r="X344" s="39">
        <v>-719778.56</v>
      </c>
      <c r="Y344" s="39">
        <v>-547178.68999999994</v>
      </c>
      <c r="Z344" s="39">
        <v>-984107.25</v>
      </c>
      <c r="AA344" s="39">
        <v>-146239.24</v>
      </c>
      <c r="AB344" s="39">
        <v>-686992.63</v>
      </c>
      <c r="AC344" s="39">
        <v>-739732.81</v>
      </c>
      <c r="AD344" s="39">
        <v>-208273.25</v>
      </c>
      <c r="AE344" s="39">
        <v>-298695.81</v>
      </c>
      <c r="AF344" s="39">
        <v>-197299.5</v>
      </c>
      <c r="AG344" s="39">
        <v>-577297.31000000006</v>
      </c>
      <c r="AH344" s="39">
        <v>-352739.28</v>
      </c>
      <c r="AI344" s="39">
        <v>-406272.31</v>
      </c>
      <c r="AJ344" s="39">
        <v>-857252.63</v>
      </c>
      <c r="AK344" s="39">
        <v>-938613.63</v>
      </c>
      <c r="AL344" s="39">
        <v>-1010213.9</v>
      </c>
    </row>
    <row r="345" spans="1:39">
      <c r="A345" s="36" t="s">
        <v>137</v>
      </c>
      <c r="B345" s="457"/>
      <c r="C345" s="39">
        <v>0</v>
      </c>
      <c r="D345" s="39">
        <v>0</v>
      </c>
      <c r="E345" s="39">
        <v>0</v>
      </c>
      <c r="F345" s="39">
        <v>0</v>
      </c>
      <c r="G345" s="39">
        <v>0</v>
      </c>
      <c r="H345" s="39">
        <v>0</v>
      </c>
      <c r="I345" s="39">
        <v>0</v>
      </c>
      <c r="J345" s="39">
        <v>0</v>
      </c>
      <c r="K345" s="39">
        <v>9044.52</v>
      </c>
      <c r="L345" s="39">
        <v>0</v>
      </c>
      <c r="M345" s="39">
        <v>0</v>
      </c>
      <c r="N345" s="39">
        <v>26441.040000000001</v>
      </c>
      <c r="O345" s="39">
        <v>0</v>
      </c>
      <c r="P345" s="39">
        <v>0</v>
      </c>
      <c r="Q345" s="39">
        <v>0</v>
      </c>
      <c r="R345" s="39">
        <v>0</v>
      </c>
      <c r="S345" s="39">
        <v>0</v>
      </c>
      <c r="T345" s="39">
        <v>0</v>
      </c>
      <c r="U345" s="39">
        <v>0</v>
      </c>
      <c r="V345" s="39">
        <v>0</v>
      </c>
      <c r="W345" s="39">
        <v>0</v>
      </c>
      <c r="X345" s="39">
        <v>0</v>
      </c>
      <c r="Y345" s="39">
        <v>0</v>
      </c>
      <c r="Z345" s="39">
        <v>0</v>
      </c>
      <c r="AA345" s="39">
        <v>0</v>
      </c>
      <c r="AB345" s="39">
        <v>0</v>
      </c>
      <c r="AC345" s="39">
        <v>0</v>
      </c>
      <c r="AD345" s="39">
        <v>0</v>
      </c>
      <c r="AE345" s="39">
        <v>0</v>
      </c>
      <c r="AF345" s="39">
        <v>0</v>
      </c>
      <c r="AG345" s="39">
        <v>0</v>
      </c>
      <c r="AH345" s="39">
        <v>0</v>
      </c>
      <c r="AI345" s="39">
        <v>0</v>
      </c>
      <c r="AJ345" s="39">
        <v>0</v>
      </c>
      <c r="AK345" s="39">
        <v>0</v>
      </c>
      <c r="AL345" s="39">
        <v>0</v>
      </c>
    </row>
    <row r="346" spans="1:39" ht="14.65" thickBot="1">
      <c r="A346" s="44" t="s">
        <v>138</v>
      </c>
      <c r="B346" s="458"/>
      <c r="C346" s="45">
        <v>263581.07</v>
      </c>
      <c r="D346" s="45">
        <v>0</v>
      </c>
      <c r="E346" s="45">
        <v>38335.99</v>
      </c>
      <c r="F346" s="45">
        <v>0</v>
      </c>
      <c r="G346" s="45">
        <v>0</v>
      </c>
      <c r="H346" s="45">
        <v>0</v>
      </c>
      <c r="I346" s="45">
        <v>0</v>
      </c>
      <c r="J346" s="45">
        <v>5481.82</v>
      </c>
      <c r="K346" s="45">
        <v>6754.5</v>
      </c>
      <c r="L346" s="45">
        <v>0</v>
      </c>
      <c r="M346" s="45">
        <v>0</v>
      </c>
      <c r="N346" s="45">
        <v>0</v>
      </c>
      <c r="O346" s="45">
        <v>0</v>
      </c>
      <c r="P346" s="45">
        <v>0</v>
      </c>
      <c r="Q346" s="45">
        <v>0</v>
      </c>
      <c r="R346" s="45">
        <v>0</v>
      </c>
      <c r="S346" s="45">
        <v>0</v>
      </c>
      <c r="T346" s="45">
        <v>0</v>
      </c>
      <c r="U346" s="45">
        <v>0</v>
      </c>
      <c r="V346" s="45">
        <v>0</v>
      </c>
      <c r="W346" s="45">
        <v>0</v>
      </c>
      <c r="X346" s="45">
        <v>1359.82</v>
      </c>
      <c r="Y346" s="45">
        <v>0</v>
      </c>
      <c r="Z346" s="45">
        <v>0</v>
      </c>
      <c r="AA346" s="45">
        <v>0</v>
      </c>
      <c r="AB346" s="45">
        <v>63071.42</v>
      </c>
      <c r="AC346" s="45">
        <v>33060</v>
      </c>
      <c r="AD346" s="45">
        <v>9860</v>
      </c>
      <c r="AE346" s="45">
        <v>0</v>
      </c>
      <c r="AF346" s="45">
        <v>0</v>
      </c>
      <c r="AG346" s="45">
        <v>9860</v>
      </c>
      <c r="AH346" s="45">
        <v>9860</v>
      </c>
      <c r="AI346" s="45">
        <v>9860</v>
      </c>
      <c r="AJ346" s="45">
        <v>9860</v>
      </c>
      <c r="AK346" s="45">
        <v>11860</v>
      </c>
      <c r="AL346" s="45">
        <v>0</v>
      </c>
    </row>
    <row r="347" spans="1:39" ht="14.65" thickBot="1"/>
    <row r="348" spans="1:39">
      <c r="A348" s="47" t="s">
        <v>139</v>
      </c>
      <c r="B348" s="48" t="s">
        <v>140</v>
      </c>
      <c r="C348" t="s">
        <v>141</v>
      </c>
      <c r="E348" s="455" t="s">
        <v>142</v>
      </c>
      <c r="F348" s="455"/>
      <c r="I348" s="463" t="s">
        <v>143</v>
      </c>
      <c r="J348" s="463"/>
      <c r="M348" s="475" t="s">
        <v>144</v>
      </c>
      <c r="N348" s="475"/>
    </row>
    <row r="349" spans="1:39">
      <c r="A349" s="24" t="s">
        <v>145</v>
      </c>
      <c r="B349" s="72">
        <v>0.35</v>
      </c>
      <c r="C349" s="217">
        <f>+B349*F353</f>
        <v>26.599999999999998</v>
      </c>
      <c r="E349" s="49" t="s">
        <v>146</v>
      </c>
      <c r="F349">
        <f>IF(B405&gt;=(B406*1.5),100,IF(B405&gt;=(B406*1.3),80,IF(B405&gt;=(B406*1),50,IF(B405&gt;=(B406*0.75),30,IF(B405&gt;=(B406*0.5),0,IF(B405&lt;=0,-30))))))</f>
        <v>100</v>
      </c>
      <c r="G349" s="7"/>
      <c r="I349" s="49" t="s">
        <v>147</v>
      </c>
      <c r="J349">
        <f>IF(B390&lt;0.02,100,IF(B390&lt;0.05,70,IF(B390&lt;0.1,40,0)))</f>
        <v>40</v>
      </c>
      <c r="M349" s="49" t="s">
        <v>148</v>
      </c>
      <c r="N349">
        <f>IF(B383&gt;=36,100,
IF(B383&gt;=24,80,
IF(B383&gt;=12,60,40)))</f>
        <v>100</v>
      </c>
    </row>
    <row r="350" spans="1:39">
      <c r="A350" s="24" t="s">
        <v>61</v>
      </c>
      <c r="B350" s="72">
        <v>0.25</v>
      </c>
      <c r="C350" s="217">
        <f>+B350*N355</f>
        <v>6.25</v>
      </c>
      <c r="E350" s="49" t="s">
        <v>149</v>
      </c>
      <c r="F350">
        <f>IF(B372&gt;0.3,100,IF(B372&gt;0.2,80,IF(B372&gt;0.15,60,IF(B372&gt;0.1,40,IF(B372&gt;0.05,20,IF(B372&gt;0,0,-20))))))</f>
        <v>80</v>
      </c>
      <c r="G350" s="7"/>
      <c r="I350" s="49" t="s">
        <v>150</v>
      </c>
      <c r="J350">
        <f>IF(B384=1,-100,100)</f>
        <v>100</v>
      </c>
      <c r="M350" s="49" t="s">
        <v>151</v>
      </c>
      <c r="N350">
        <f>IF(B382&gt;=24,100,
IF(B382&gt;=12,80,
IF(B382&gt;=6,60,40)))</f>
        <v>100</v>
      </c>
    </row>
    <row r="351" spans="1:39" ht="14.65" thickBot="1">
      <c r="A351" s="24" t="s">
        <v>152</v>
      </c>
      <c r="B351" s="72">
        <v>7.4999999999999997E-2</v>
      </c>
      <c r="C351" s="217">
        <f>+B351*J352</f>
        <v>6</v>
      </c>
      <c r="E351" s="49" t="s">
        <v>153</v>
      </c>
      <c r="F351">
        <f>IF(B375&lt;0.1,100,IF(B375&lt;0.2,70,IF(B375&lt;0.3,50,IF(B375&lt;0.4,30,IF(B375&lt;0.5,20,IF(B375&gt;0.5,0,))))))</f>
        <v>0</v>
      </c>
      <c r="G351" s="7"/>
      <c r="I351" s="49" t="s">
        <v>154</v>
      </c>
      <c r="J351">
        <f>IF(B394="NO FACHADA",100,-50)</f>
        <v>100</v>
      </c>
      <c r="M351" s="49" t="s">
        <v>155</v>
      </c>
      <c r="N351">
        <f>IF(B379&gt;0.2,100,
IF(B379&gt;0.1,80,
IF(B379&gt;0,40,IF(B379&gt;-0.05,0,-40))))</f>
        <v>-40</v>
      </c>
    </row>
    <row r="352" spans="1:39" ht="15" thickTop="1" thickBot="1">
      <c r="A352" s="24" t="s">
        <v>156</v>
      </c>
      <c r="B352" s="72">
        <v>7.4999999999999997E-2</v>
      </c>
      <c r="C352" s="217">
        <f>+B352*J358</f>
        <v>6.9999999999999991</v>
      </c>
      <c r="E352" s="49" t="str">
        <f>+A408</f>
        <v>Activo VS ventas anuales</v>
      </c>
      <c r="F352">
        <f>IF(B408&lt;0.1,100,
IF(B408&lt;0.2,80,
IF(B408&lt;0.3,40,IF(B408&lt;0.5,20,IF(B408&lt;0.7,0,-40)))))</f>
        <v>80</v>
      </c>
      <c r="G352" s="7"/>
      <c r="J352" s="215">
        <f>AVERAGE(J349,J350,J351)</f>
        <v>80</v>
      </c>
      <c r="M352" s="49" t="s">
        <v>157</v>
      </c>
      <c r="N352">
        <f>IF(B368&lt;30,100,IF(B368&lt;45,90,IF(B368&lt;60,75,IF(B368&lt;75,60,IF(B368&lt;90,40,20)))))</f>
        <v>100</v>
      </c>
    </row>
    <row r="353" spans="1:14" ht="15" thickTop="1" thickBot="1">
      <c r="A353" s="50" t="s">
        <v>158</v>
      </c>
      <c r="B353" s="368">
        <v>0.25</v>
      </c>
      <c r="C353" s="217">
        <f>+B353*F358</f>
        <v>19.399999999999999</v>
      </c>
      <c r="D353" s="217">
        <f>+B353*G358</f>
        <v>25</v>
      </c>
      <c r="F353" s="215">
        <f>F349*0.4 + F350*0.3 + F351*0.15+F352*0.15</f>
        <v>76</v>
      </c>
      <c r="G353" s="7"/>
      <c r="M353" s="49" t="s">
        <v>159</v>
      </c>
      <c r="N353">
        <f>IF(AND(B369&gt;=30,B369&lt;=60),100,IF(OR(AND(B369&gt;=15,B369&lt;30),AND(B369&gt;60,B369&lt;=75)),70,20))</f>
        <v>20</v>
      </c>
    </row>
    <row r="354" spans="1:14" ht="16.149999999999999" thickBot="1">
      <c r="A354" s="377" t="s">
        <v>360</v>
      </c>
      <c r="B354" s="378">
        <f>+(C349+C350+C351+C352+C353)*10</f>
        <v>652.5</v>
      </c>
      <c r="I354" s="464" t="s">
        <v>160</v>
      </c>
      <c r="J354" s="464"/>
      <c r="M354" s="49" t="str">
        <f>+A374</f>
        <v>Coeficiente Variacion Flujo</v>
      </c>
      <c r="N354">
        <f>IF(B364&lt;0,IF(B374&gt;2,-30,0),IF(B374&lt;1,100,IF(B374&lt;2,70,IF(B374&lt;3,40,IF(B374&lt;4,30,IF(B374&lt;5,0,-30))))))</f>
        <v>30</v>
      </c>
    </row>
    <row r="355" spans="1:14" ht="16.5" thickTop="1" thickBot="1">
      <c r="A355" s="44" t="s">
        <v>361</v>
      </c>
      <c r="B355" s="379">
        <f>+(C349+C350+C351+C352+D353)*10</f>
        <v>708.5</v>
      </c>
      <c r="C355" s="384" t="str">
        <f>IF(B355&gt;=850,"Excelente Candidato",
IF(B355&gt;=700,"Aprobación",
IF(B355&gt;=550,"Aprobar con Aval",
IF(B355&gt;=500,"Revisar con Obligado",IF(B355&gt;=400,"Solicitar Aval * Depósitos","Sugerenica Rechazo")))))</f>
        <v>Aprobación</v>
      </c>
      <c r="E355" s="465" t="s">
        <v>161</v>
      </c>
      <c r="F355" s="465"/>
      <c r="G355" s="23" t="s">
        <v>162</v>
      </c>
      <c r="I355" s="49" t="s">
        <v>163</v>
      </c>
      <c r="J355">
        <f>IF(B386&lt;1500,100,IF(B386&lt;2000,50,IF(B386&lt;2500,25,IF(B386&lt;3500,0,IF(B386&gt;=3500,-30,)))))</f>
        <v>100</v>
      </c>
      <c r="N355" s="357">
        <f>(N349*0.05)+
(N350*0.05)+
(N351*0.3)+
(N352*0.15)+
(N353*0.15)+
(N354*0.3)</f>
        <v>25</v>
      </c>
    </row>
    <row r="356" spans="1:14">
      <c r="A356" s="8" t="s">
        <v>164</v>
      </c>
      <c r="B356" s="383" t="str">
        <f>IF(B355&gt;=850,"Muy poco riesgo",
IF(B355&gt;=700,"Riesgo Bajo",
IF(B355&gt;=600,"Riesgo aceptable",
IF(B355&gt;=500,"Riesgo Medio",IF(B355&gt;=400,"Riesgo Alto","Riesgo muy Alto")))))</f>
        <v>Riesgo Bajo</v>
      </c>
      <c r="C356" s="318" t="str">
        <f>+IF(B385="RECHAZAR","RECHAZAR",IF(B391="ALERTA","ALERTA","NO en listas negras"))</f>
        <v>NO en listas negras</v>
      </c>
      <c r="E356" s="49" t="s">
        <v>165</v>
      </c>
      <c r="F356">
        <f>IF(B392&gt;=330,100,IF(B392&gt;=300,80,IF(B392&gt;=270,72,IF(B392&gt;=240,68,IF(B392&gt;=220,64,IF(B392&gt;=200,40,IF(B392&gt;=180,10,IF(B392="",30,0))))))))</f>
        <v>68</v>
      </c>
      <c r="G356" s="2" t="s">
        <v>166</v>
      </c>
      <c r="I356" s="49" t="s">
        <v>167</v>
      </c>
      <c r="J356">
        <f>IF(B388&lt;0.15,100,
IF(B388&lt;0.25,80,
IF(B388&lt;0.35,50,IF(B388&lt;0.5,0,IF(B388&gt;0.5,-50)))))</f>
        <v>80</v>
      </c>
    </row>
    <row r="357" spans="1:14" ht="14.65" thickBot="1">
      <c r="A357" s="8" t="s">
        <v>136</v>
      </c>
      <c r="B357" s="319" t="str">
        <f>+C407</f>
        <v>Suficiente</v>
      </c>
      <c r="C357" s="320" t="str">
        <f>+B394</f>
        <v>NO FACHADA</v>
      </c>
      <c r="E357" s="8" t="str">
        <f>+A370</f>
        <v>CxP / Flujo Operativo</v>
      </c>
      <c r="F357">
        <f>IF(B364&lt;0, -20, IF(B370&lt;1, 100, IF(B370&lt;2, 70, IF(B370&lt;3, 40, IF(B370&lt;5, 30, 0)))))</f>
        <v>100</v>
      </c>
      <c r="G357" s="385">
        <f>IF(B364&lt;0, -20, IF(B370&lt;1, 100, IF(B370&lt;2, 70, IF(B370&lt;3, 40, IF(B370&lt;5, 30, 0)))))</f>
        <v>100</v>
      </c>
      <c r="I357" s="49" t="s">
        <v>168</v>
      </c>
      <c r="J357">
        <f>IF(B389&lt;0.05,100,
IF(B389&lt;0.1,80,IF(B389&lt;0.2,50,IF(B389&lt;0.4,0,-40))))</f>
        <v>100</v>
      </c>
      <c r="L357" t="s">
        <v>169</v>
      </c>
    </row>
    <row r="358" spans="1:14" ht="15" thickTop="1" thickBot="1">
      <c r="A358" s="8" t="s">
        <v>156</v>
      </c>
      <c r="B358" s="321" t="str">
        <f>+B387</f>
        <v>OK</v>
      </c>
      <c r="C358" s="322" t="str">
        <f>+C404</f>
        <v>Buen Flujo</v>
      </c>
      <c r="F358" s="214">
        <f>(F356*0.7)+(F357*0.3)</f>
        <v>77.599999999999994</v>
      </c>
      <c r="G358" s="214">
        <f>(G357*1)</f>
        <v>100</v>
      </c>
      <c r="J358" s="215">
        <f>AVERAGE(J355,J356,J357)</f>
        <v>93.333333333333329</v>
      </c>
      <c r="L358" t="s">
        <v>102</v>
      </c>
      <c r="M358" t="s">
        <v>103</v>
      </c>
    </row>
    <row r="359" spans="1:14">
      <c r="L359" t="s">
        <v>150</v>
      </c>
      <c r="M359" t="s">
        <v>170</v>
      </c>
    </row>
    <row r="360" spans="1:14" ht="21.4" thickBot="1">
      <c r="A360" s="51" t="s">
        <v>171</v>
      </c>
      <c r="B360" s="52" t="s">
        <v>172</v>
      </c>
      <c r="D360" s="53"/>
      <c r="L360" t="s">
        <v>173</v>
      </c>
      <c r="M360" t="s">
        <v>170</v>
      </c>
    </row>
    <row r="361" spans="1:14" ht="14.65" thickBot="1">
      <c r="A361" s="55" t="s">
        <v>174</v>
      </c>
      <c r="B361" s="56" t="s">
        <v>175</v>
      </c>
      <c r="C361" s="56" t="s">
        <v>176</v>
      </c>
      <c r="D361" s="56" t="s">
        <v>177</v>
      </c>
      <c r="E361" s="56" t="s">
        <v>178</v>
      </c>
      <c r="L361" t="s">
        <v>179</v>
      </c>
      <c r="M361" t="s">
        <v>170</v>
      </c>
    </row>
    <row r="362" spans="1:14">
      <c r="A362" t="s">
        <v>180</v>
      </c>
      <c r="B362" s="358">
        <f>AVERAGE(C342:N342)</f>
        <v>1034003.1091666665</v>
      </c>
      <c r="C362" s="359">
        <f>AVERAGE(C342:AL342)</f>
        <v>561265.86888888886</v>
      </c>
      <c r="D362" s="2" t="str">
        <f>IF(B362/B363&gt;1.5,"Bien",IF(B362/B363&gt;1.3,"Ok",IF(B362/B363&gt;1.2,"Revisar",IF(B362/B363&gt;1.15,"Muy Bajo","Alerta"))))</f>
        <v>Alerta</v>
      </c>
      <c r="E362" s="57" t="s">
        <v>181</v>
      </c>
      <c r="L362" t="s">
        <v>182</v>
      </c>
      <c r="M362" t="s">
        <v>183</v>
      </c>
    </row>
    <row r="363" spans="1:14">
      <c r="A363" t="s">
        <v>184</v>
      </c>
      <c r="B363" s="358">
        <f>AVERAGE(C343:N343)</f>
        <v>955918.48416666652</v>
      </c>
      <c r="C363" s="359">
        <f>AVERAGE(C343:AL343)</f>
        <v>809525.58666666644</v>
      </c>
      <c r="D363" s="53" t="str">
        <f>IF(B363/B362&lt;0.6,"Bien",IF(B363/B362&lt;0.76,"Ok",IF(B363/B362&lt;0.8,"Revisar",IF(B363/B362&lt;0.89,"Riesgo","Alerta"))))</f>
        <v>Alerta</v>
      </c>
      <c r="E363" s="57" t="s">
        <v>185</v>
      </c>
      <c r="L363" t="s">
        <v>186</v>
      </c>
      <c r="M363" t="s">
        <v>183</v>
      </c>
    </row>
    <row r="364" spans="1:14">
      <c r="A364" t="s">
        <v>187</v>
      </c>
      <c r="B364" s="358">
        <f>AVERAGE(C344:N344)</f>
        <v>229963.16250000001</v>
      </c>
      <c r="C364" s="359">
        <f>AVERAGE(C344:AL344)</f>
        <v>-183051.34833333333</v>
      </c>
      <c r="D364" s="53" t="str">
        <f>IF(B364/B403&gt;2,"Bien",IF(B364/B403&gt;1.5,"Ok",IF(B364/B403&gt;1.2,"Revisión","Alerta")))</f>
        <v>Bien</v>
      </c>
      <c r="E364" s="57" t="s">
        <v>188</v>
      </c>
    </row>
    <row r="365" spans="1:14">
      <c r="A365" t="s">
        <v>189</v>
      </c>
      <c r="B365" s="359">
        <f>B364*IF(B364&gt;=0, B413, 1+(1-B413))</f>
        <v>160974.21375</v>
      </c>
      <c r="C365" s="359">
        <f>C364*IF(C364&gt;=0, B413, 1+(1-B413))</f>
        <v>-237966.75283333333</v>
      </c>
      <c r="D365" s="2" t="str">
        <f>IF(B365/B403&gt;2,"Bien",IF(B365/B403&gt;1.5,"Ok",IF(B365/B403&gt;1.2,"Revisión","Alerta")))</f>
        <v>Bien</v>
      </c>
      <c r="E365" s="57" t="s">
        <v>190</v>
      </c>
    </row>
    <row r="366" spans="1:14">
      <c r="A366" t="s">
        <v>191</v>
      </c>
      <c r="B366" s="358">
        <f>AVERAGE(C345:N345)</f>
        <v>2957.1299999999997</v>
      </c>
      <c r="C366" s="359">
        <f>AVERAGE(C345:AL345)</f>
        <v>985.70999999999992</v>
      </c>
      <c r="E366" s="9" t="s">
        <v>192</v>
      </c>
    </row>
    <row r="367" spans="1:14">
      <c r="A367" t="s">
        <v>193</v>
      </c>
      <c r="B367" s="358">
        <f>AVERAGE(C346:N346)</f>
        <v>26179.448333333334</v>
      </c>
      <c r="C367" s="359">
        <f>AVERAGE(C346:AL346)</f>
        <v>13133.461666666666</v>
      </c>
      <c r="E367" s="9" t="s">
        <v>194</v>
      </c>
    </row>
    <row r="368" spans="1:14">
      <c r="A368" t="s">
        <v>195</v>
      </c>
      <c r="B368" s="360">
        <f>+(B366/B362)*30</f>
        <v>8.5796550526329771E-2</v>
      </c>
      <c r="C368" s="360">
        <f>+(C366/C362)*30</f>
        <v>5.2686795401510667E-2</v>
      </c>
      <c r="D368" s="10" t="str">
        <f>+IF(B368&gt;B369,"Financia a Proveedores", "Proveedores la Financian")</f>
        <v>Proveedores la Financian</v>
      </c>
      <c r="E368" s="9" t="s">
        <v>196</v>
      </c>
    </row>
    <row r="369" spans="1:9">
      <c r="A369" t="s">
        <v>197</v>
      </c>
      <c r="B369" s="360">
        <f>+(B367/B363)*30</f>
        <v>0.82160086137958466</v>
      </c>
      <c r="C369" s="360">
        <f>+(C367/C363)*30</f>
        <v>0.48670956976463875</v>
      </c>
      <c r="D369" s="10" t="str">
        <f>+IF(B369&gt;B368,"Proveedores la Financian","Financia a Proveedores")</f>
        <v>Proveedores la Financian</v>
      </c>
      <c r="E369" s="9" t="s">
        <v>196</v>
      </c>
    </row>
    <row r="370" spans="1:9">
      <c r="A370" t="s">
        <v>198</v>
      </c>
      <c r="B370" s="208">
        <f>+((B367*4.5)/(B364*12))</f>
        <v>4.2690720627917955E-2</v>
      </c>
      <c r="C370" s="208">
        <f>+(C367*4.5)/(C364*12)</f>
        <v>-2.6905281877692446E-2</v>
      </c>
      <c r="D370" s="59">
        <f>IF(B370&lt;=0,"ALERTA",(B367*4.5)/(B364*12))</f>
        <v>4.2690720627917955E-2</v>
      </c>
      <c r="E370" s="57" t="s">
        <v>346</v>
      </c>
      <c r="I370" t="s">
        <v>199</v>
      </c>
    </row>
    <row r="371" spans="1:9">
      <c r="A371" t="s">
        <v>200</v>
      </c>
      <c r="B371" t="s">
        <v>201</v>
      </c>
      <c r="C371" s="360"/>
      <c r="E371" s="9"/>
    </row>
    <row r="372" spans="1:9">
      <c r="A372" t="s">
        <v>202</v>
      </c>
      <c r="B372" s="60">
        <f>(B364/B362)</f>
        <v>0.22240084237786681</v>
      </c>
      <c r="C372" s="60">
        <f>(C364/C362)</f>
        <v>-0.32614017434502351</v>
      </c>
      <c r="D372" s="2">
        <f>IF(B372&lt;=0,"ALERTA",(B369*4.5)/(B366*12))</f>
        <v>1.0418896802553295E-4</v>
      </c>
      <c r="E372" s="57" t="s">
        <v>203</v>
      </c>
    </row>
    <row r="373" spans="1:9">
      <c r="A373" t="s">
        <v>362</v>
      </c>
      <c r="B373" s="381">
        <f>_xlfn.STDEV.P(C344:N344)</f>
        <v>856296.71184853755</v>
      </c>
      <c r="C373" s="381">
        <f>_xlfn.STDEV.P(C344:AL344)</f>
        <v>694271.74277248641</v>
      </c>
      <c r="E373" s="57" t="s">
        <v>204</v>
      </c>
    </row>
    <row r="374" spans="1:9">
      <c r="A374" t="s">
        <v>205</v>
      </c>
      <c r="B374" s="382">
        <f>ABS(B373/B364)</f>
        <v>3.7236255691540925</v>
      </c>
      <c r="C374" s="366">
        <f>C373/C364</f>
        <v>-3.7927704389711985</v>
      </c>
      <c r="D374" s="57"/>
      <c r="E374" s="57" t="s">
        <v>370</v>
      </c>
    </row>
    <row r="375" spans="1:9">
      <c r="A375" t="s">
        <v>371</v>
      </c>
      <c r="B375" s="60">
        <f>(B373/B362)</f>
        <v>0.82813746327963389</v>
      </c>
      <c r="C375" s="60">
        <f>+(C373/C362)</f>
        <v>1.2369748122167181</v>
      </c>
      <c r="D375" s="2" t="str">
        <f>+IF(B375&lt;20%,"Estables",IF(B375&lt;40%,"Normal",IF(B375&gt;40%,"Volatil")))</f>
        <v>Volatil</v>
      </c>
      <c r="E375" s="57" t="s">
        <v>207</v>
      </c>
    </row>
    <row r="376" spans="1:9">
      <c r="A376" t="s">
        <v>208</v>
      </c>
      <c r="B376" s="361">
        <f>COUNTIF(E342:P342,"&gt;0")</f>
        <v>12</v>
      </c>
      <c r="C376" s="362">
        <f>COUNTIF(E342:AN342,"&gt;0")</f>
        <v>23</v>
      </c>
      <c r="E376" s="57" t="s">
        <v>209</v>
      </c>
    </row>
    <row r="377" spans="1:9">
      <c r="A377" t="s">
        <v>210</v>
      </c>
      <c r="B377" s="363">
        <f>B376/12</f>
        <v>1</v>
      </c>
      <c r="C377" s="363">
        <f>C376/36</f>
        <v>0.63888888888888884</v>
      </c>
      <c r="D377" s="2" t="str">
        <f>+IF(B377&gt;90%,"Estable",IF(B377&gt;50%,"Intermitente",IF(B377&lt;50%,"Riesgoso")))</f>
        <v>Estable</v>
      </c>
      <c r="E377" s="57" t="s">
        <v>211</v>
      </c>
    </row>
    <row r="378" spans="1:9">
      <c r="A378" s="203"/>
      <c r="B378" s="204"/>
      <c r="C378" s="204"/>
      <c r="D378" s="205"/>
      <c r="E378" s="206"/>
    </row>
    <row r="379" spans="1:9">
      <c r="A379" t="s">
        <v>212</v>
      </c>
      <c r="B379" s="60">
        <f>AVERAGE(C342:H342)/AVERAGE(I342:N342)-1</f>
        <v>-0.55496590378466926</v>
      </c>
      <c r="C379" s="60">
        <f>AVERAGE(C342:T342)/AVERAGE(U342:AL342)-1</f>
        <v>3.5581135395396482</v>
      </c>
      <c r="D379" s="2" t="str">
        <f>+IF(B379&gt;15%,"Bueno",IF(B379&gt;5%,"Estable",IF(B379&gt;1%,"Bajo",IF(B379&gt;-10%,"Alerta","Deterioro"))))</f>
        <v>Deterioro</v>
      </c>
      <c r="E379" s="9" t="s">
        <v>213</v>
      </c>
    </row>
    <row r="380" spans="1:9" ht="14.65" thickBot="1"/>
    <row r="381" spans="1:9" ht="14.65" thickBot="1">
      <c r="A381" s="55" t="s">
        <v>214</v>
      </c>
      <c r="B381" s="61" t="s">
        <v>215</v>
      </c>
      <c r="C381" s="466" t="s">
        <v>178</v>
      </c>
      <c r="D381" s="467"/>
    </row>
    <row r="382" spans="1:9">
      <c r="A382" s="16" t="s">
        <v>216</v>
      </c>
      <c r="B382" s="62">
        <v>36</v>
      </c>
      <c r="C382" s="1" t="s">
        <v>217</v>
      </c>
    </row>
    <row r="383" spans="1:9">
      <c r="A383" s="3" t="s">
        <v>218</v>
      </c>
      <c r="B383" s="25">
        <v>36</v>
      </c>
      <c r="C383" s="1" t="s">
        <v>219</v>
      </c>
    </row>
    <row r="384" spans="1:9">
      <c r="A384" s="3" t="s">
        <v>220</v>
      </c>
      <c r="B384" s="25">
        <v>0</v>
      </c>
      <c r="C384" s="1" t="s">
        <v>221</v>
      </c>
    </row>
    <row r="385" spans="1:9">
      <c r="A385" s="3" t="s">
        <v>222</v>
      </c>
      <c r="B385" s="4" t="str">
        <f>IF(B384=1,"RECHAZAR","NO")</f>
        <v>NO</v>
      </c>
      <c r="C385" s="1" t="s">
        <v>223</v>
      </c>
    </row>
    <row r="386" spans="1:9">
      <c r="A386" s="3" t="s">
        <v>224</v>
      </c>
      <c r="B386" s="65">
        <v>1368</v>
      </c>
      <c r="C386" s="1" t="s">
        <v>225</v>
      </c>
    </row>
    <row r="387" spans="1:9">
      <c r="A387" s="3" t="s">
        <v>226</v>
      </c>
      <c r="B387" s="323" t="str">
        <f>IF(B386&gt;1500,"ALERTA CONCENTRACION","OK")</f>
        <v>OK</v>
      </c>
      <c r="C387" s="1" t="s">
        <v>227</v>
      </c>
    </row>
    <row r="388" spans="1:9">
      <c r="A388" s="3" t="s">
        <v>228</v>
      </c>
      <c r="B388" s="66">
        <v>0.2273</v>
      </c>
      <c r="C388" s="1" t="s">
        <v>229</v>
      </c>
    </row>
    <row r="389" spans="1:9">
      <c r="A389" s="3" t="s">
        <v>230</v>
      </c>
      <c r="B389" s="67">
        <v>6.1799999999999995E-4</v>
      </c>
      <c r="C389" s="1" t="s">
        <v>231</v>
      </c>
    </row>
    <row r="390" spans="1:9">
      <c r="A390" s="3" t="s">
        <v>232</v>
      </c>
      <c r="B390" s="67">
        <v>0.06</v>
      </c>
      <c r="C390" s="1" t="s">
        <v>233</v>
      </c>
    </row>
    <row r="391" spans="1:9">
      <c r="A391" s="3" t="s">
        <v>234</v>
      </c>
      <c r="B391" s="68" t="str">
        <f>IF(B390&gt;0.2,"ALERTA","OK")</f>
        <v>OK</v>
      </c>
      <c r="C391" s="1" t="s">
        <v>177</v>
      </c>
    </row>
    <row r="392" spans="1:9">
      <c r="A392" s="3" t="s">
        <v>235</v>
      </c>
      <c r="B392" s="69">
        <v>259</v>
      </c>
      <c r="C392" s="1" t="s">
        <v>372</v>
      </c>
      <c r="I392" t="s">
        <v>373</v>
      </c>
    </row>
    <row r="393" spans="1:9">
      <c r="A393" s="3" t="s">
        <v>236</v>
      </c>
      <c r="B393" s="68" t="str">
        <f>IF(B392&gt;175,"NO",IF(B392="","Sin Buró","RECHAZAR"))</f>
        <v>NO</v>
      </c>
      <c r="C393" s="1" t="s">
        <v>177</v>
      </c>
    </row>
    <row r="394" spans="1:9" ht="14.65" thickBot="1">
      <c r="A394" s="6" t="s">
        <v>237</v>
      </c>
      <c r="B394" s="380" t="str">
        <f>IF(AND(B390&gt;0.1, B379&gt;0.5, B386&gt;3500),"Fachada RECHAZAR","NO FACHADA")</f>
        <v>NO FACHADA</v>
      </c>
      <c r="C394" s="1" t="s">
        <v>238</v>
      </c>
    </row>
    <row r="395" spans="1:9" ht="14.65" thickBot="1">
      <c r="A395" s="3" t="s">
        <v>239</v>
      </c>
      <c r="B395" s="69">
        <v>706</v>
      </c>
    </row>
    <row r="396" spans="1:9" ht="14.65" thickBot="1">
      <c r="A396" s="468" t="s">
        <v>240</v>
      </c>
      <c r="B396" s="469"/>
      <c r="C396" s="56" t="s">
        <v>177</v>
      </c>
      <c r="D396" s="56" t="s">
        <v>178</v>
      </c>
    </row>
    <row r="397" spans="1:9">
      <c r="A397" s="16" t="s">
        <v>241</v>
      </c>
      <c r="B397" s="70">
        <f>1694400+29845.97</f>
        <v>1724245.97</v>
      </c>
      <c r="D397" s="1" t="s">
        <v>242</v>
      </c>
    </row>
    <row r="398" spans="1:9">
      <c r="A398" s="3" t="s">
        <v>243</v>
      </c>
      <c r="B398" s="71">
        <v>561700</v>
      </c>
      <c r="D398" s="1" t="s">
        <v>244</v>
      </c>
    </row>
    <row r="399" spans="1:9">
      <c r="A399" s="3" t="s">
        <v>245</v>
      </c>
      <c r="B399" s="71">
        <v>365172.41</v>
      </c>
      <c r="D399" s="1" t="s">
        <v>245</v>
      </c>
    </row>
    <row r="400" spans="1:9">
      <c r="A400" s="3" t="s">
        <v>246</v>
      </c>
      <c r="B400" s="251">
        <f>B397-B398</f>
        <v>1162545.97</v>
      </c>
      <c r="D400" s="1" t="s">
        <v>247</v>
      </c>
    </row>
    <row r="401" spans="1:13">
      <c r="A401" s="3" t="s">
        <v>248</v>
      </c>
      <c r="B401" s="25">
        <v>36</v>
      </c>
    </row>
    <row r="402" spans="1:13">
      <c r="A402" s="3" t="s">
        <v>83</v>
      </c>
      <c r="B402" s="72">
        <f>+IF(B401&lt;24,30.2%,IF(B401&lt;36,26%,IF(B401&lt;48,24.55%,IF(B401&lt;60,23.82%,"0%"))))</f>
        <v>0.2455</v>
      </c>
      <c r="D402" s="73"/>
    </row>
    <row r="403" spans="1:13">
      <c r="A403" s="3" t="s">
        <v>249</v>
      </c>
      <c r="B403" s="216">
        <f>+PMT(B402/12,B401,-B400,B399)</f>
        <v>38984.78717323926</v>
      </c>
      <c r="C403" s="2" t="str">
        <f>IF(B404/B403&gt;2,"Bien",IF(B404/B403&gt;1.5,"Ok",IF(B404/B403&gt;1.2,"Alerta","Le falta Flujo")))</f>
        <v>Bien</v>
      </c>
      <c r="D403" s="1" t="s">
        <v>250</v>
      </c>
    </row>
    <row r="404" spans="1:13">
      <c r="A404" s="3" t="s">
        <v>189</v>
      </c>
      <c r="B404" s="216">
        <f>B365</f>
        <v>160974.21375</v>
      </c>
      <c r="C404" s="2" t="str">
        <f>IF(B365/B403&gt;2,"Buen Flujo",IF(B365/B403&gt;1.5,"Ok Flujo",IF(B365/B403&gt;1.1,"Flujo muy Justo","Flujo Insuficiente")))</f>
        <v>Buen Flujo</v>
      </c>
      <c r="D404" s="1" t="s">
        <v>251</v>
      </c>
    </row>
    <row r="405" spans="1:13">
      <c r="A405" s="3" t="s">
        <v>252</v>
      </c>
      <c r="B405" s="364">
        <f>+(B404/B403)</f>
        <v>4.1291546118917699</v>
      </c>
      <c r="C405" s="2" t="str">
        <f>+IF(B405&gt;1.5,"Comodo",IF(B405&gt;1.1,"Aceptable",IF(B405&lt;1.1,"Rechazo")))</f>
        <v>Comodo</v>
      </c>
      <c r="D405" t="s">
        <v>374</v>
      </c>
    </row>
    <row r="406" spans="1:13">
      <c r="A406" s="3" t="s">
        <v>253</v>
      </c>
      <c r="B406" s="289">
        <f>IF(B401&lt;=24,$B$584,IF(B401&lt;=36,$B$585,IF(B401&lt;=48,$B$586,$B$587)))</f>
        <v>2.75</v>
      </c>
      <c r="D406" t="s">
        <v>254</v>
      </c>
    </row>
    <row r="407" spans="1:13">
      <c r="A407" s="3" t="s">
        <v>255</v>
      </c>
      <c r="B407" s="365"/>
      <c r="C407" s="4" t="str">
        <f>IF(B405&gt;B406,"Suficiente",IF(B405&lt;1,"Negativo","AVAL"))</f>
        <v>Suficiente</v>
      </c>
      <c r="D407" t="s">
        <v>256</v>
      </c>
    </row>
    <row r="408" spans="1:13">
      <c r="A408" s="3" t="s">
        <v>257</v>
      </c>
      <c r="B408" s="72">
        <f>+B397/SUM(D342:O342)</f>
        <v>0.14027052702559084</v>
      </c>
      <c r="C408" s="2" t="str">
        <f>IF(B408&lt;0.1,"Excelente",IF(B408&lt;0.2,"Bien",IF(B408&lt;0.3,"Ok",IF(B408&lt;0.6,"Revisar",IF(B408&lt;0.9,"Alerta","Sobrepasado")))))</f>
        <v>Bien</v>
      </c>
      <c r="D408" t="s">
        <v>375</v>
      </c>
    </row>
    <row r="409" spans="1:13">
      <c r="A409" s="3" t="s">
        <v>258</v>
      </c>
      <c r="B409" s="216">
        <f>B404/B406</f>
        <v>58536.077727272728</v>
      </c>
      <c r="C409" s="74" t="str">
        <f>IF(B409/B403&gt;4,"Ok",IF(B409/B403&gt;2,"OK",IF((B409/B403)&gt;1.2,"Renta con Riesgo",IF(B409/B403&lt;1.1,"No Otorgar"))))</f>
        <v>Renta con Riesgo</v>
      </c>
      <c r="D409" t="s">
        <v>259</v>
      </c>
      <c r="G409">
        <f>+B409/B403</f>
        <v>1.5015107679606436</v>
      </c>
    </row>
    <row r="410" spans="1:13" ht="14.65" thickBot="1">
      <c r="A410" s="6" t="s">
        <v>260</v>
      </c>
      <c r="B410" s="367">
        <f>IF(B404&lt;0, 0, PV(B402/12,B401,-B409))</f>
        <v>1481093.0906334193</v>
      </c>
      <c r="C410" s="2" t="str">
        <f>+IF(B410/B397&gt;1,"Otorgar",IF(B410/B397&gt;0.75,"Revision","No Otorgar"))</f>
        <v>Revision</v>
      </c>
      <c r="D410" t="s">
        <v>261</v>
      </c>
    </row>
    <row r="411" spans="1:13" ht="14.65" thickBot="1"/>
    <row r="412" spans="1:13">
      <c r="A412" s="47" t="s">
        <v>262</v>
      </c>
      <c r="B412" s="48" t="s">
        <v>263</v>
      </c>
    </row>
    <row r="413" spans="1:13">
      <c r="A413" s="24" t="s">
        <v>264</v>
      </c>
      <c r="B413" s="25">
        <v>0.7</v>
      </c>
      <c r="M413" t="s">
        <v>265</v>
      </c>
    </row>
    <row r="414" spans="1:13">
      <c r="A414" s="24" t="s">
        <v>80</v>
      </c>
      <c r="B414" s="25">
        <v>3</v>
      </c>
      <c r="D414" t="s">
        <v>254</v>
      </c>
    </row>
    <row r="415" spans="1:13">
      <c r="A415" s="24" t="s">
        <v>85</v>
      </c>
      <c r="B415" s="25">
        <v>2.75</v>
      </c>
      <c r="D415" t="s">
        <v>254</v>
      </c>
    </row>
    <row r="416" spans="1:13">
      <c r="A416" s="24" t="s">
        <v>87</v>
      </c>
      <c r="B416" s="25">
        <v>2.5</v>
      </c>
      <c r="D416" t="s">
        <v>254</v>
      </c>
    </row>
    <row r="417" spans="1:40">
      <c r="A417" s="24" t="s">
        <v>88</v>
      </c>
      <c r="B417" s="25">
        <v>2.25</v>
      </c>
      <c r="D417" t="s">
        <v>254</v>
      </c>
    </row>
    <row r="418" spans="1:40">
      <c r="A418" s="24" t="s">
        <v>266</v>
      </c>
      <c r="B418" s="25">
        <v>6</v>
      </c>
      <c r="D418" t="s">
        <v>267</v>
      </c>
    </row>
    <row r="419" spans="1:40">
      <c r="A419" s="24" t="s">
        <v>268</v>
      </c>
      <c r="B419" s="25">
        <v>-10</v>
      </c>
      <c r="D419" t="s">
        <v>269</v>
      </c>
    </row>
    <row r="420" spans="1:40" ht="14.65" thickBot="1">
      <c r="A420" s="50" t="s">
        <v>270</v>
      </c>
      <c r="B420" s="75">
        <v>-30</v>
      </c>
      <c r="D420" t="s">
        <v>271</v>
      </c>
    </row>
    <row r="421" spans="1:40">
      <c r="A421" s="47"/>
      <c r="B421" s="48"/>
    </row>
    <row r="423" spans="1:40" ht="14.65" thickBot="1"/>
    <row r="424" spans="1:40" ht="27" thickBot="1">
      <c r="A424" s="391" t="s">
        <v>377</v>
      </c>
      <c r="B424" s="386"/>
      <c r="C424" s="386"/>
      <c r="D424" s="387"/>
      <c r="E424" s="388"/>
      <c r="F424" s="388"/>
      <c r="G424" s="388"/>
      <c r="H424" s="389"/>
      <c r="I424" s="386"/>
      <c r="J424" s="386"/>
      <c r="K424" s="386"/>
      <c r="L424" s="386"/>
      <c r="M424" s="386"/>
      <c r="N424" s="386"/>
      <c r="O424" s="386"/>
      <c r="P424" s="386"/>
      <c r="Q424" s="386"/>
      <c r="R424" s="386"/>
      <c r="S424" s="386"/>
      <c r="T424" s="386"/>
      <c r="U424" s="386"/>
      <c r="V424" s="386"/>
      <c r="W424" s="386"/>
      <c r="X424" s="386"/>
      <c r="Y424" s="386"/>
      <c r="Z424" s="386"/>
      <c r="AA424" s="386"/>
      <c r="AB424" s="386"/>
      <c r="AC424" s="386"/>
      <c r="AD424" s="386"/>
      <c r="AE424" s="386"/>
      <c r="AF424" s="386"/>
      <c r="AG424" s="386"/>
      <c r="AH424" s="386"/>
      <c r="AI424" s="386"/>
      <c r="AJ424" s="386"/>
      <c r="AK424" s="386"/>
      <c r="AL424" s="390"/>
    </row>
    <row r="425" spans="1:40" ht="14.65" thickBot="1">
      <c r="A425" s="30" t="s">
        <v>131</v>
      </c>
      <c r="C425" s="31">
        <v>46143</v>
      </c>
      <c r="D425" s="31">
        <v>46113</v>
      </c>
      <c r="E425" s="31">
        <v>46054</v>
      </c>
      <c r="F425" s="31">
        <f>+E425-1</f>
        <v>46053</v>
      </c>
      <c r="G425" s="31">
        <f>+F425-1</f>
        <v>46052</v>
      </c>
      <c r="H425" s="31">
        <f t="shared" ref="H425:AL425" si="155">+G425-1</f>
        <v>46051</v>
      </c>
      <c r="I425" s="31">
        <f t="shared" si="155"/>
        <v>46050</v>
      </c>
      <c r="J425" s="31">
        <f t="shared" si="155"/>
        <v>46049</v>
      </c>
      <c r="K425" s="31">
        <f t="shared" si="155"/>
        <v>46048</v>
      </c>
      <c r="L425" s="31">
        <f t="shared" si="155"/>
        <v>46047</v>
      </c>
      <c r="M425" s="31">
        <f t="shared" si="155"/>
        <v>46046</v>
      </c>
      <c r="N425" s="31">
        <f t="shared" si="155"/>
        <v>46045</v>
      </c>
      <c r="O425" s="31">
        <f t="shared" si="155"/>
        <v>46044</v>
      </c>
      <c r="P425" s="31">
        <f t="shared" si="155"/>
        <v>46043</v>
      </c>
      <c r="Q425" s="31">
        <f t="shared" si="155"/>
        <v>46042</v>
      </c>
      <c r="R425" s="31">
        <f t="shared" si="155"/>
        <v>46041</v>
      </c>
      <c r="S425" s="31">
        <f t="shared" si="155"/>
        <v>46040</v>
      </c>
      <c r="T425" s="31">
        <f t="shared" si="155"/>
        <v>46039</v>
      </c>
      <c r="U425" s="31">
        <f t="shared" si="155"/>
        <v>46038</v>
      </c>
      <c r="V425" s="31">
        <f t="shared" si="155"/>
        <v>46037</v>
      </c>
      <c r="W425" s="31">
        <f t="shared" si="155"/>
        <v>46036</v>
      </c>
      <c r="X425" s="31">
        <f t="shared" si="155"/>
        <v>46035</v>
      </c>
      <c r="Y425" s="31">
        <f t="shared" si="155"/>
        <v>46034</v>
      </c>
      <c r="Z425" s="31">
        <f t="shared" si="155"/>
        <v>46033</v>
      </c>
      <c r="AA425" s="31">
        <f t="shared" si="155"/>
        <v>46032</v>
      </c>
      <c r="AB425" s="31">
        <f t="shared" si="155"/>
        <v>46031</v>
      </c>
      <c r="AC425" s="31">
        <f t="shared" si="155"/>
        <v>46030</v>
      </c>
      <c r="AD425" s="31">
        <f t="shared" si="155"/>
        <v>46029</v>
      </c>
      <c r="AE425" s="31">
        <f t="shared" si="155"/>
        <v>46028</v>
      </c>
      <c r="AF425" s="31">
        <f t="shared" si="155"/>
        <v>46027</v>
      </c>
      <c r="AG425" s="31">
        <f t="shared" si="155"/>
        <v>46026</v>
      </c>
      <c r="AH425" s="31">
        <f t="shared" si="155"/>
        <v>46025</v>
      </c>
      <c r="AI425" s="31">
        <f t="shared" si="155"/>
        <v>46024</v>
      </c>
      <c r="AJ425" s="31">
        <f t="shared" si="155"/>
        <v>46023</v>
      </c>
      <c r="AK425" s="31">
        <f t="shared" si="155"/>
        <v>46022</v>
      </c>
      <c r="AL425" s="31">
        <f t="shared" si="155"/>
        <v>46021</v>
      </c>
    </row>
    <row r="426" spans="1:40" ht="14.65" thickBot="1">
      <c r="A426" s="32" t="s">
        <v>132</v>
      </c>
      <c r="C426" s="33">
        <v>1</v>
      </c>
      <c r="D426" s="34">
        <v>2</v>
      </c>
      <c r="E426" s="34">
        <v>3</v>
      </c>
      <c r="F426" s="34">
        <v>4</v>
      </c>
      <c r="G426" s="34">
        <v>5</v>
      </c>
      <c r="H426" s="34">
        <v>6</v>
      </c>
      <c r="I426" s="34">
        <v>7</v>
      </c>
      <c r="J426" s="34">
        <v>8</v>
      </c>
      <c r="K426" s="34">
        <v>9</v>
      </c>
      <c r="L426" s="34">
        <v>10</v>
      </c>
      <c r="M426" s="34">
        <v>11</v>
      </c>
      <c r="N426" s="34">
        <v>12</v>
      </c>
      <c r="O426" s="34">
        <v>13</v>
      </c>
      <c r="P426" s="34">
        <v>14</v>
      </c>
      <c r="Q426" s="34">
        <v>15</v>
      </c>
      <c r="R426" s="34">
        <v>16</v>
      </c>
      <c r="S426" s="34">
        <v>17</v>
      </c>
      <c r="T426" s="34">
        <v>18</v>
      </c>
      <c r="U426" s="34">
        <v>19</v>
      </c>
      <c r="V426" s="34">
        <v>20</v>
      </c>
      <c r="W426" s="34">
        <v>21</v>
      </c>
      <c r="X426" s="34">
        <v>22</v>
      </c>
      <c r="Y426" s="34">
        <v>23</v>
      </c>
      <c r="Z426" s="34">
        <v>24</v>
      </c>
      <c r="AA426" s="34">
        <v>25</v>
      </c>
      <c r="AB426" s="34">
        <v>26</v>
      </c>
      <c r="AC426" s="34">
        <v>27</v>
      </c>
      <c r="AD426" s="34">
        <v>28</v>
      </c>
      <c r="AE426" s="34">
        <v>29</v>
      </c>
      <c r="AF426" s="34">
        <v>30</v>
      </c>
      <c r="AG426" s="34">
        <v>31</v>
      </c>
      <c r="AH426" s="34">
        <v>32</v>
      </c>
      <c r="AI426" s="34">
        <v>33</v>
      </c>
      <c r="AJ426" s="34">
        <v>34</v>
      </c>
      <c r="AK426" s="34">
        <v>35</v>
      </c>
      <c r="AL426" s="35">
        <v>36</v>
      </c>
      <c r="AM426">
        <v>37</v>
      </c>
    </row>
    <row r="427" spans="1:40">
      <c r="A427" s="36" t="s">
        <v>133</v>
      </c>
      <c r="B427" s="456" t="s">
        <v>134</v>
      </c>
      <c r="C427" s="37">
        <v>1581414.92</v>
      </c>
      <c r="D427" s="37">
        <v>781630</v>
      </c>
      <c r="E427" s="37">
        <v>1136427.6200000001</v>
      </c>
      <c r="F427" s="37">
        <v>517600</v>
      </c>
      <c r="G427" s="37">
        <v>762523.33</v>
      </c>
      <c r="H427" s="37">
        <v>948929.7</v>
      </c>
      <c r="I427" s="37">
        <v>748363</v>
      </c>
      <c r="J427" s="37">
        <v>645400</v>
      </c>
      <c r="K427" s="37">
        <v>1053060</v>
      </c>
      <c r="L427" s="37">
        <v>384450</v>
      </c>
      <c r="M427" s="37">
        <v>750099</v>
      </c>
      <c r="N427" s="37">
        <v>466988.24</v>
      </c>
      <c r="O427" s="37">
        <v>461700</v>
      </c>
      <c r="P427" s="37">
        <v>445200</v>
      </c>
      <c r="Q427" s="37">
        <v>435100</v>
      </c>
      <c r="R427" s="37">
        <v>424700</v>
      </c>
      <c r="S427" s="37">
        <v>367199</v>
      </c>
      <c r="T427" s="37">
        <v>359100</v>
      </c>
      <c r="U427" s="37">
        <v>146100</v>
      </c>
      <c r="V427" s="37">
        <v>313900</v>
      </c>
      <c r="W427" s="37">
        <v>193800</v>
      </c>
      <c r="X427" s="37">
        <v>285322.21999999997</v>
      </c>
      <c r="Y427" s="37">
        <v>232700</v>
      </c>
      <c r="Z427" s="37">
        <v>330100</v>
      </c>
      <c r="AA427" s="37">
        <v>126500</v>
      </c>
      <c r="AB427" s="37">
        <v>110500</v>
      </c>
      <c r="AC427" s="37">
        <v>13500</v>
      </c>
      <c r="AD427" s="37">
        <v>101800</v>
      </c>
      <c r="AE427" s="37">
        <v>43500</v>
      </c>
      <c r="AF427" s="37">
        <v>60200</v>
      </c>
      <c r="AG427" s="37">
        <v>54500</v>
      </c>
      <c r="AH427" s="37">
        <v>81700</v>
      </c>
      <c r="AI427" s="37">
        <v>42441.38</v>
      </c>
      <c r="AJ427" s="37">
        <v>24500</v>
      </c>
      <c r="AK427" s="37">
        <v>16000</v>
      </c>
      <c r="AL427" s="37">
        <v>9000</v>
      </c>
      <c r="AM427" t="e">
        <f>+#REF!</f>
        <v>#REF!</v>
      </c>
      <c r="AN427" t="e">
        <f>+#REF!</f>
        <v>#REF!</v>
      </c>
    </row>
    <row r="428" spans="1:40">
      <c r="A428" s="36" t="s">
        <v>135</v>
      </c>
      <c r="B428" s="457"/>
      <c r="C428" s="39">
        <v>476071.14</v>
      </c>
      <c r="D428" s="39">
        <v>1077733.2</v>
      </c>
      <c r="E428" s="39">
        <v>701312.04</v>
      </c>
      <c r="F428" s="39">
        <v>587569.77</v>
      </c>
      <c r="G428" s="39">
        <v>693801.13</v>
      </c>
      <c r="H428" s="39">
        <v>738117.7</v>
      </c>
      <c r="I428" s="39">
        <v>758972.46</v>
      </c>
      <c r="J428" s="39">
        <v>424170.08</v>
      </c>
      <c r="K428" s="39">
        <v>866492.41</v>
      </c>
      <c r="L428" s="39">
        <v>746378.16</v>
      </c>
      <c r="M428" s="39">
        <v>756598.82</v>
      </c>
      <c r="N428" s="39">
        <v>245928.57</v>
      </c>
      <c r="O428" s="39">
        <v>278821.65999999997</v>
      </c>
      <c r="P428" s="39">
        <v>342415.08</v>
      </c>
      <c r="Q428" s="39">
        <v>341257.79</v>
      </c>
      <c r="R428" s="39">
        <v>1735937.38</v>
      </c>
      <c r="S428" s="39">
        <v>423582.13</v>
      </c>
      <c r="T428" s="39">
        <v>170414.8</v>
      </c>
      <c r="U428" s="39">
        <v>56062.86</v>
      </c>
      <c r="V428" s="39">
        <v>247392.1</v>
      </c>
      <c r="W428" s="39">
        <v>165267.89000000001</v>
      </c>
      <c r="X428" s="39">
        <v>207946.08</v>
      </c>
      <c r="Y428" s="39">
        <v>182991.24</v>
      </c>
      <c r="Z428" s="39">
        <v>191726.68</v>
      </c>
      <c r="AA428" s="39">
        <v>107315.41</v>
      </c>
      <c r="AB428" s="39">
        <v>60870.53</v>
      </c>
      <c r="AC428" s="39">
        <v>154385.41</v>
      </c>
      <c r="AD428" s="39">
        <v>78713.59</v>
      </c>
      <c r="AE428" s="39">
        <v>51275.18</v>
      </c>
      <c r="AF428" s="39">
        <v>50270.93</v>
      </c>
      <c r="AG428" s="39">
        <v>59734.02</v>
      </c>
      <c r="AH428" s="39">
        <v>31638.12</v>
      </c>
      <c r="AI428" s="39">
        <v>30798.28</v>
      </c>
      <c r="AJ428" s="39">
        <v>52322.29</v>
      </c>
      <c r="AK428" s="39">
        <v>67701.679999999993</v>
      </c>
      <c r="AL428" s="39">
        <v>52508.61</v>
      </c>
      <c r="AM428" t="e">
        <f>+#REF!</f>
        <v>#REF!</v>
      </c>
      <c r="AN428" t="e">
        <f>+#REF!</f>
        <v>#REF!</v>
      </c>
    </row>
    <row r="429" spans="1:40">
      <c r="A429" s="36" t="s">
        <v>136</v>
      </c>
      <c r="B429" s="457"/>
      <c r="C429" s="39">
        <v>1330684.03</v>
      </c>
      <c r="D429" s="39">
        <v>181269.88</v>
      </c>
      <c r="E429" s="39">
        <v>881978</v>
      </c>
      <c r="F429" s="39">
        <v>30761.56</v>
      </c>
      <c r="G429" s="39">
        <v>250310.94</v>
      </c>
      <c r="H429" s="39">
        <v>1018207.13</v>
      </c>
      <c r="I429" s="39">
        <v>621235.63</v>
      </c>
      <c r="J429" s="39">
        <v>362994.91</v>
      </c>
      <c r="K429" s="39">
        <v>275568.88</v>
      </c>
      <c r="L429" s="39">
        <v>-158477.31</v>
      </c>
      <c r="M429" s="39">
        <v>187826.13</v>
      </c>
      <c r="N429" s="39">
        <v>333323.27</v>
      </c>
      <c r="O429" s="39">
        <v>391313.13</v>
      </c>
      <c r="P429" s="39">
        <v>215742.31</v>
      </c>
      <c r="Q429" s="39">
        <v>277628.78000000003</v>
      </c>
      <c r="R429" s="39">
        <v>92680.94</v>
      </c>
      <c r="S429" s="39">
        <v>58155.28</v>
      </c>
      <c r="T429" s="39">
        <v>588770.36</v>
      </c>
      <c r="U429" s="39">
        <v>275059.43</v>
      </c>
      <c r="V429" s="39">
        <v>184242.38</v>
      </c>
      <c r="W429" s="39">
        <v>138316.98000000001</v>
      </c>
      <c r="X429" s="39">
        <v>152002.56</v>
      </c>
      <c r="Y429" s="39">
        <v>218595.53</v>
      </c>
      <c r="Z429" s="39">
        <v>302977.33</v>
      </c>
      <c r="AA429" s="39">
        <v>279017.46000000002</v>
      </c>
      <c r="AB429" s="39">
        <v>194809.94</v>
      </c>
      <c r="AC429" s="39">
        <v>232288.95</v>
      </c>
      <c r="AD429" s="39">
        <v>137595.82</v>
      </c>
      <c r="AE429" s="39">
        <v>238710.32</v>
      </c>
      <c r="AF429" s="39">
        <v>87477.2</v>
      </c>
      <c r="AG429" s="39">
        <v>53697.98</v>
      </c>
      <c r="AH429" s="39">
        <v>116864.13</v>
      </c>
      <c r="AI429" s="39">
        <v>95539.89</v>
      </c>
      <c r="AJ429" s="39">
        <v>31777.24</v>
      </c>
      <c r="AK429" s="39">
        <v>106278.78</v>
      </c>
      <c r="AL429" s="39">
        <v>59764.55</v>
      </c>
      <c r="AM429" t="e">
        <f>+#REF!</f>
        <v>#REF!</v>
      </c>
      <c r="AN429" t="e">
        <f>+#REF!</f>
        <v>#REF!</v>
      </c>
    </row>
    <row r="430" spans="1:40">
      <c r="A430" s="36" t="s">
        <v>137</v>
      </c>
      <c r="B430" s="457"/>
      <c r="C430" s="39">
        <v>0</v>
      </c>
      <c r="D430" s="39">
        <v>0</v>
      </c>
      <c r="E430" s="39">
        <v>0</v>
      </c>
      <c r="F430" s="39">
        <v>0</v>
      </c>
      <c r="G430" s="39">
        <v>0</v>
      </c>
      <c r="H430" s="39">
        <v>7000</v>
      </c>
      <c r="I430" s="39">
        <v>0</v>
      </c>
      <c r="J430" s="39">
        <v>0</v>
      </c>
      <c r="K430" s="39">
        <v>0</v>
      </c>
      <c r="L430" s="39">
        <v>0</v>
      </c>
      <c r="M430" s="39">
        <v>0</v>
      </c>
      <c r="N430" s="39">
        <v>0</v>
      </c>
      <c r="O430" s="39">
        <v>0</v>
      </c>
      <c r="P430" s="39">
        <v>0</v>
      </c>
      <c r="Q430" s="39">
        <v>0</v>
      </c>
      <c r="R430" s="39">
        <v>0</v>
      </c>
      <c r="S430" s="39">
        <v>0</v>
      </c>
      <c r="T430" s="39">
        <v>0</v>
      </c>
      <c r="U430" s="39">
        <v>0</v>
      </c>
      <c r="V430" s="39">
        <v>0</v>
      </c>
      <c r="W430" s="39">
        <v>0</v>
      </c>
      <c r="X430" s="39">
        <v>0</v>
      </c>
      <c r="Y430" s="39">
        <v>0</v>
      </c>
      <c r="Z430" s="39">
        <v>0</v>
      </c>
      <c r="AA430" s="39">
        <v>0</v>
      </c>
      <c r="AB430" s="39">
        <v>0</v>
      </c>
      <c r="AC430" s="39">
        <v>0</v>
      </c>
      <c r="AD430" s="39">
        <v>0</v>
      </c>
      <c r="AE430" s="39">
        <v>0</v>
      </c>
      <c r="AF430" s="39">
        <v>0</v>
      </c>
      <c r="AG430" s="39">
        <v>0</v>
      </c>
      <c r="AH430" s="39">
        <v>0</v>
      </c>
      <c r="AI430" s="39">
        <v>0</v>
      </c>
      <c r="AJ430" s="39">
        <v>0</v>
      </c>
      <c r="AK430" s="39">
        <v>0</v>
      </c>
      <c r="AL430" s="39">
        <v>0</v>
      </c>
      <c r="AM430" t="str">
        <f>+G608</f>
        <v xml:space="preserve">PFAE </v>
      </c>
      <c r="AN430">
        <f>+F608</f>
        <v>0</v>
      </c>
    </row>
    <row r="431" spans="1:40" ht="14.65" thickBot="1">
      <c r="A431" s="44" t="s">
        <v>138</v>
      </c>
      <c r="B431" s="458"/>
      <c r="C431" s="45">
        <v>3999</v>
      </c>
      <c r="D431" s="45">
        <v>0</v>
      </c>
      <c r="E431" s="45">
        <v>2999</v>
      </c>
      <c r="F431" s="45">
        <v>0</v>
      </c>
      <c r="G431" s="45">
        <v>0</v>
      </c>
      <c r="H431" s="45">
        <v>0</v>
      </c>
      <c r="I431" s="45">
        <v>0</v>
      </c>
      <c r="J431" s="45">
        <v>0</v>
      </c>
      <c r="K431" s="45">
        <v>0</v>
      </c>
      <c r="L431" s="45">
        <v>0</v>
      </c>
      <c r="M431" s="45">
        <v>0</v>
      </c>
      <c r="N431" s="45">
        <v>0</v>
      </c>
      <c r="O431" s="45">
        <v>3812.69</v>
      </c>
      <c r="P431" s="45">
        <v>672</v>
      </c>
      <c r="Q431" s="45">
        <v>0</v>
      </c>
      <c r="R431" s="45">
        <v>1320000</v>
      </c>
      <c r="S431" s="45">
        <v>0</v>
      </c>
      <c r="T431" s="45">
        <v>0</v>
      </c>
      <c r="U431" s="45">
        <v>0</v>
      </c>
      <c r="V431" s="45">
        <v>0</v>
      </c>
      <c r="W431" s="45">
        <v>0</v>
      </c>
      <c r="X431" s="45">
        <v>0</v>
      </c>
      <c r="Y431" s="45">
        <v>0</v>
      </c>
      <c r="Z431" s="45">
        <v>0</v>
      </c>
      <c r="AA431" s="45">
        <v>0</v>
      </c>
      <c r="AB431" s="45">
        <v>0</v>
      </c>
      <c r="AC431" s="45">
        <v>2288.83</v>
      </c>
      <c r="AD431" s="45">
        <v>0</v>
      </c>
      <c r="AE431" s="45">
        <v>0</v>
      </c>
      <c r="AF431" s="45">
        <v>0</v>
      </c>
      <c r="AG431" s="45">
        <v>2799.2</v>
      </c>
      <c r="AH431" s="45">
        <v>0</v>
      </c>
      <c r="AI431" s="45">
        <v>0</v>
      </c>
      <c r="AJ431" s="45">
        <v>0</v>
      </c>
      <c r="AK431" s="45">
        <v>0</v>
      </c>
      <c r="AL431" s="45">
        <v>0</v>
      </c>
      <c r="AM431" t="e">
        <f>+#REF!</f>
        <v>#REF!</v>
      </c>
      <c r="AN431" t="e">
        <f>+#REF!</f>
        <v>#REF!</v>
      </c>
    </row>
    <row r="432" spans="1:40" ht="14.65" thickBot="1"/>
    <row r="433" spans="1:14">
      <c r="A433" s="47" t="s">
        <v>139</v>
      </c>
      <c r="B433" s="48" t="s">
        <v>140</v>
      </c>
      <c r="C433" t="s">
        <v>141</v>
      </c>
      <c r="E433" s="455" t="s">
        <v>142</v>
      </c>
      <c r="F433" s="455"/>
      <c r="I433" s="463" t="s">
        <v>143</v>
      </c>
      <c r="J433" s="463"/>
      <c r="M433" s="475" t="s">
        <v>144</v>
      </c>
      <c r="N433" s="475"/>
    </row>
    <row r="434" spans="1:14">
      <c r="A434" s="24" t="s">
        <v>145</v>
      </c>
      <c r="B434" s="72">
        <v>0.35</v>
      </c>
      <c r="C434" s="217">
        <f>+B434*F438</f>
        <v>26.599999999999998</v>
      </c>
      <c r="E434" s="49" t="s">
        <v>146</v>
      </c>
      <c r="F434">
        <f>IF(B490&gt;=(B491*1.5),100,IF(B490&gt;=(B491*1.3),80,IF(B490&gt;=(B491*1),50,IF(B490&gt;=(B491*0.75),30,IF(B490&gt;=(B491*0.5),0,IF(B490&lt;=0,-30))))))</f>
        <v>100</v>
      </c>
      <c r="I434" s="49" t="s">
        <v>147</v>
      </c>
      <c r="J434">
        <f>IF(B475&lt;0.02,100,IF(B475&lt;0.05,70,IF(B475&lt;0.1,40,0)))</f>
        <v>70</v>
      </c>
      <c r="M434" s="49" t="s">
        <v>148</v>
      </c>
      <c r="N434">
        <f>IF(B468&gt;=36,100,
IF(B468&gt;=24,80,
IF(B468&gt;=12,60,40)))</f>
        <v>100</v>
      </c>
    </row>
    <row r="435" spans="1:14">
      <c r="A435" s="24" t="s">
        <v>61</v>
      </c>
      <c r="B435" s="72">
        <v>0.25</v>
      </c>
      <c r="C435" s="217">
        <f>+B435*N440</f>
        <v>22</v>
      </c>
      <c r="E435" s="49" t="s">
        <v>149</v>
      </c>
      <c r="F435">
        <f>IF(B457&gt;0.3,100,IF(B457&gt;0.2,80,IF(B457&gt;0.15,60,IF(B457&gt;0.1,40,IF(B457&gt;0.05,20,IF(B457&gt;0,0,-20))))))</f>
        <v>100</v>
      </c>
      <c r="I435" s="49" t="s">
        <v>150</v>
      </c>
      <c r="J435">
        <f>IF(B469=1,-100,100)</f>
        <v>100</v>
      </c>
      <c r="M435" s="49" t="s">
        <v>151</v>
      </c>
      <c r="N435">
        <f>IF(B467&gt;=24,100,
IF(B467&gt;=12,80,
IF(B467&gt;=6,60,40)))</f>
        <v>100</v>
      </c>
    </row>
    <row r="436" spans="1:14" ht="14.65" thickBot="1">
      <c r="A436" s="24" t="s">
        <v>152</v>
      </c>
      <c r="B436" s="72">
        <v>7.4999999999999997E-2</v>
      </c>
      <c r="C436" s="217">
        <f>+B436*J437</f>
        <v>6.75</v>
      </c>
      <c r="E436" s="49" t="s">
        <v>153</v>
      </c>
      <c r="F436">
        <f>IF(B460&lt;0.1,100,IF(B460&lt;0.2,70,IF(B460&lt;0.3,50,IF(B460&lt;0.4,30,IF(B460&lt;0.5,20,IF(B460&gt;0.5,0,))))))</f>
        <v>0</v>
      </c>
      <c r="I436" s="49" t="s">
        <v>154</v>
      </c>
      <c r="J436">
        <f>IF(B479="NO FACHADA",100,-50)</f>
        <v>100</v>
      </c>
      <c r="M436" s="49" t="s">
        <v>155</v>
      </c>
      <c r="N436">
        <f>IF(B464&gt;0.2,100,
IF(B464&gt;0.1,80,
IF(B464&gt;0,40,IF(B464&gt;-0.05,0,-40))))</f>
        <v>100</v>
      </c>
    </row>
    <row r="437" spans="1:14" ht="15" thickTop="1" thickBot="1">
      <c r="A437" s="24" t="s">
        <v>156</v>
      </c>
      <c r="B437" s="72">
        <v>7.4999999999999997E-2</v>
      </c>
      <c r="C437" s="217">
        <f>+B437*J443</f>
        <v>6.9999999999999991</v>
      </c>
      <c r="E437" s="49" t="str">
        <f>+A493</f>
        <v>Activo VS ventas anuales</v>
      </c>
      <c r="F437">
        <f>IF(B493&lt;0.1,100,
IF(B493&lt;0.2,80,
IF(B493&lt;0.3,40,IF(B493&lt;0.5,20,IF(B493&lt;0.7,0,-40)))))</f>
        <v>40</v>
      </c>
      <c r="J437" s="215">
        <f>AVERAGE(J434,J435,J436)</f>
        <v>90</v>
      </c>
      <c r="M437" s="49" t="s">
        <v>157</v>
      </c>
      <c r="N437">
        <f>IF(B453&lt;30,100,IF(B453&lt;45,90,IF(B453&lt;60,75,IF(B453&lt;75,60,IF(B453&lt;90,40,20)))))</f>
        <v>100</v>
      </c>
    </row>
    <row r="438" spans="1:14" ht="15" thickTop="1" thickBot="1">
      <c r="A438" s="50" t="s">
        <v>158</v>
      </c>
      <c r="B438" s="368">
        <v>0.25</v>
      </c>
      <c r="C438" s="217">
        <f>+B438*F443</f>
        <v>12.75</v>
      </c>
      <c r="D438" s="217">
        <f>+B438*G443</f>
        <v>25</v>
      </c>
      <c r="F438" s="215">
        <f>F434*0.4 + F435*0.3 + F436*0.15+F437*0.15</f>
        <v>76</v>
      </c>
      <c r="M438" s="49" t="s">
        <v>159</v>
      </c>
      <c r="N438">
        <f>IF(AND(B454&gt;=30,B454&lt;=60),100,IF(OR(AND(B454&gt;=15,B454&lt;30),AND(B454&gt;60,B454&lt;=75)),70,20))</f>
        <v>20</v>
      </c>
    </row>
    <row r="439" spans="1:14" ht="16.149999999999999" thickBot="1">
      <c r="A439" s="377" t="s">
        <v>360</v>
      </c>
      <c r="B439" s="378">
        <f>+(C434+C435+C436+C437+C438)*10</f>
        <v>751</v>
      </c>
      <c r="I439" s="464" t="s">
        <v>160</v>
      </c>
      <c r="J439" s="464"/>
      <c r="M439" s="49" t="str">
        <f>+A459</f>
        <v>Coeficiente Variacion Flujo</v>
      </c>
      <c r="N439">
        <f>IF(B449&lt;0,IF(B459&gt;2,-30,0),IF(B459&lt;1,100,IF(B459&lt;2,70,IF(B459&lt;3,40,IF(B459&lt;4,30,IF(B459&lt;5,0,-30))))))</f>
        <v>100</v>
      </c>
    </row>
    <row r="440" spans="1:14" ht="16.5" thickTop="1" thickBot="1">
      <c r="A440" s="44" t="s">
        <v>361</v>
      </c>
      <c r="B440" s="379">
        <f>+(C434+C435+C436+C437+D438)*10</f>
        <v>873.5</v>
      </c>
      <c r="C440" s="384" t="str">
        <f>IF(B440&gt;=850,"Excelente Candidato",
IF(B440&gt;=700,"Aprobación",
IF(B440&gt;=550,"Aprobar con Aval",
IF(B440&gt;=500,"Revisar con Obligado",IF(B440&gt;=400,"Solicitar Aval * Depósitos","Sugerenica Rechazo")))))</f>
        <v>Excelente Candidato</v>
      </c>
      <c r="E440" s="465" t="s">
        <v>161</v>
      </c>
      <c r="F440" s="465"/>
      <c r="G440" s="23" t="s">
        <v>162</v>
      </c>
      <c r="I440" s="49" t="s">
        <v>163</v>
      </c>
      <c r="J440">
        <f>IF(B471&lt;1500,100,IF(B471&lt;2000,50,IF(B471&lt;2500,25,IF(B471&lt;3500,0,IF(B471&gt;=3500,-30,)))))</f>
        <v>100</v>
      </c>
      <c r="N440" s="357">
        <f>(N434*0.05)+
(N435*0.05)+
(N436*0.3)+
(N437*0.15)+
(N438*0.15)+
(N439*0.3)</f>
        <v>88</v>
      </c>
    </row>
    <row r="441" spans="1:14">
      <c r="A441" s="8" t="s">
        <v>164</v>
      </c>
      <c r="B441" s="383" t="str">
        <f>IF(B440&gt;=850,"Muy poco riesgo",
IF(B440&gt;=700,"Riesgo Bajo",
IF(B440&gt;=600,"Riesgo aceptable",
IF(B440&gt;=500,"Riesgo Medio",IF(B440&gt;=400,"Riesgo Alto","Riesgo muy Alto")))))</f>
        <v>Muy poco riesgo</v>
      </c>
      <c r="C441" s="318" t="str">
        <f>+IF(B470="RECHAZAR","RECHAZAR",IF(B476="ALERTA","ALERTA","NO en listas negras"))</f>
        <v>NO en listas negras</v>
      </c>
      <c r="E441" s="49" t="s">
        <v>165</v>
      </c>
      <c r="F441">
        <f>IF(B477&gt;=330,100,IF(B477&gt;=300,80,IF(B477&gt;=270,72,IF(B477&gt;=240,68,IF(B477&gt;=220,64,IF(B477&gt;=200,40,IF(B477&gt;=180,10,IF(B477="",30,0))))))))</f>
        <v>30</v>
      </c>
      <c r="G441" s="2" t="s">
        <v>166</v>
      </c>
      <c r="I441" s="49" t="s">
        <v>167</v>
      </c>
      <c r="J441">
        <f>IF(B473&lt;0.15,100,
IF(B473&lt;0.25,80,
IF(B473&lt;0.35,50,IF(B473&lt;0.5,0,IF(B473&gt;0.5,-50)))))</f>
        <v>80</v>
      </c>
    </row>
    <row r="442" spans="1:14" ht="14.65" thickBot="1">
      <c r="A442" s="8" t="s">
        <v>136</v>
      </c>
      <c r="B442" s="319" t="str">
        <f>+C492</f>
        <v>Suficiente</v>
      </c>
      <c r="C442" s="320" t="str">
        <f>+B479</f>
        <v>NO FACHADA</v>
      </c>
      <c r="E442" s="8" t="str">
        <f>+A455</f>
        <v>CxP / Flujo Operativo</v>
      </c>
      <c r="F442">
        <f>IF(B449&lt;0, -20, IF(B455&lt;1, 100, IF(B455&lt;2, 70, IF(B455&lt;3, 40, IF(B455&lt;5, 30, 0)))))</f>
        <v>100</v>
      </c>
      <c r="G442" s="385">
        <f>IF(B449&lt;0, -20, IF(B455&lt;1, 100, IF(B455&lt;2, 70, IF(B455&lt;3, 40, IF(B455&lt;5, 30, 0)))))</f>
        <v>100</v>
      </c>
      <c r="I442" s="49" t="s">
        <v>168</v>
      </c>
      <c r="J442">
        <f>IF(B474&lt;0.05,100,
IF(B474&lt;0.1,80,IF(B474&lt;0.2,50,IF(B474&lt;0.4,0,-40))))</f>
        <v>100</v>
      </c>
      <c r="L442" t="s">
        <v>169</v>
      </c>
    </row>
    <row r="443" spans="1:14" ht="15" thickTop="1" thickBot="1">
      <c r="A443" s="8" t="s">
        <v>156</v>
      </c>
      <c r="B443" s="321" t="str">
        <f>+B472</f>
        <v>OK</v>
      </c>
      <c r="C443" s="322" t="str">
        <f>+C489</f>
        <v>Buen Flujo</v>
      </c>
      <c r="F443" s="214">
        <f>(F441*0.7)+(F442*0.3)</f>
        <v>51</v>
      </c>
      <c r="G443" s="214">
        <f>(G442*1)</f>
        <v>100</v>
      </c>
      <c r="J443" s="215">
        <f>AVERAGE(J440,J441,J442)</f>
        <v>93.333333333333329</v>
      </c>
      <c r="L443" t="s">
        <v>102</v>
      </c>
      <c r="M443" t="s">
        <v>103</v>
      </c>
    </row>
    <row r="444" spans="1:14">
      <c r="L444" t="s">
        <v>150</v>
      </c>
      <c r="M444" t="s">
        <v>170</v>
      </c>
    </row>
    <row r="445" spans="1:14" ht="21.4" thickBot="1">
      <c r="A445" s="51" t="s">
        <v>171</v>
      </c>
      <c r="B445" s="52" t="s">
        <v>172</v>
      </c>
      <c r="D445" s="53"/>
      <c r="L445" t="s">
        <v>173</v>
      </c>
      <c r="M445" t="s">
        <v>170</v>
      </c>
    </row>
    <row r="446" spans="1:14" ht="14.65" thickBot="1">
      <c r="A446" s="55" t="s">
        <v>174</v>
      </c>
      <c r="B446" s="56" t="s">
        <v>175</v>
      </c>
      <c r="C446" s="56" t="s">
        <v>176</v>
      </c>
      <c r="D446" s="56" t="s">
        <v>177</v>
      </c>
      <c r="E446" s="56" t="s">
        <v>178</v>
      </c>
      <c r="L446" t="s">
        <v>179</v>
      </c>
      <c r="M446" t="s">
        <v>170</v>
      </c>
    </row>
    <row r="447" spans="1:14">
      <c r="A447" t="s">
        <v>180</v>
      </c>
      <c r="B447" s="358">
        <f>AVERAGE(C427:N427)</f>
        <v>814740.48416666675</v>
      </c>
      <c r="C447" s="359">
        <f>AVERAGE(C427:AL427)</f>
        <v>401554.12250000006</v>
      </c>
      <c r="D447" s="2" t="str">
        <f>IF(B447/B448&gt;1.5,"Bien",IF(B447/B448&gt;1.3,"Ok",IF(B447/B448&gt;1.2,"Revisar",IF(B447/B448&gt;1.15,"Muy Bajo","Alerta"))))</f>
        <v>Revisar</v>
      </c>
      <c r="E447" s="57" t="s">
        <v>181</v>
      </c>
      <c r="L447" t="s">
        <v>182</v>
      </c>
      <c r="M447" t="s">
        <v>183</v>
      </c>
    </row>
    <row r="448" spans="1:14">
      <c r="A448" t="s">
        <v>184</v>
      </c>
      <c r="B448" s="358">
        <f>AVERAGE(C428:N428)</f>
        <v>672762.12333333341</v>
      </c>
      <c r="C448" s="359">
        <f>AVERAGE(C428:AL428)</f>
        <v>367069.31166666659</v>
      </c>
      <c r="D448" s="53" t="str">
        <f>IF(B448/B447&lt;0.6,"Bien",IF(B448/B447&lt;0.76,"Ok",IF(B448/B447&lt;0.8,"Revisar",IF(B448/B447&lt;0.89,"Riesgo","Alerta"))))</f>
        <v>Riesgo</v>
      </c>
      <c r="E448" s="57" t="s">
        <v>185</v>
      </c>
      <c r="L448" t="s">
        <v>186</v>
      </c>
      <c r="M448" t="s">
        <v>183</v>
      </c>
    </row>
    <row r="449" spans="1:9">
      <c r="A449" t="s">
        <v>187</v>
      </c>
      <c r="B449" s="358">
        <f>AVERAGE(C429:N429)</f>
        <v>442973.58750000008</v>
      </c>
      <c r="C449" s="359">
        <f>AVERAGE(C429:AL429)</f>
        <v>273471.95333333337</v>
      </c>
      <c r="D449" s="53" t="str">
        <f>IF(B449/B488&gt;2,"Bien",IF(B449/B488&gt;1.5,"Ok",IF(B449/B488&gt;1.2,"Revisión","Alerta")))</f>
        <v>Bien</v>
      </c>
      <c r="E449" s="57" t="s">
        <v>188</v>
      </c>
    </row>
    <row r="450" spans="1:9">
      <c r="A450" t="s">
        <v>189</v>
      </c>
      <c r="B450" s="359">
        <f>B449*IF(B449&gt;=0, B498, 1+(1-B498))</f>
        <v>310081.51125000004</v>
      </c>
      <c r="C450" s="359">
        <f>C449*IF(C449&gt;=0, B498, 1+(1-B498))</f>
        <v>191430.36733333336</v>
      </c>
      <c r="D450" s="2" t="str">
        <f>IF(B450/B488&gt;2,"Bien",IF(B450/B488&gt;1.5,"Ok",IF(B450/B488&gt;1.2,"Revisión","Alerta")))</f>
        <v>Bien</v>
      </c>
      <c r="E450" s="57" t="s">
        <v>190</v>
      </c>
    </row>
    <row r="451" spans="1:9">
      <c r="A451" t="s">
        <v>191</v>
      </c>
      <c r="B451" s="358">
        <f>AVERAGE(C430:N430)</f>
        <v>583.33333333333337</v>
      </c>
      <c r="C451" s="359">
        <f>AVERAGE(C430:AL430)</f>
        <v>194.44444444444446</v>
      </c>
      <c r="E451" s="9" t="s">
        <v>192</v>
      </c>
    </row>
    <row r="452" spans="1:9">
      <c r="A452" t="s">
        <v>193</v>
      </c>
      <c r="B452" s="358">
        <f>AVERAGE(C431:N431)</f>
        <v>583.16666666666663</v>
      </c>
      <c r="C452" s="359">
        <f>AVERAGE(C431:AL431)</f>
        <v>37126.964444444442</v>
      </c>
      <c r="E452" s="9" t="s">
        <v>194</v>
      </c>
    </row>
    <row r="453" spans="1:9">
      <c r="A453" t="s">
        <v>195</v>
      </c>
      <c r="B453" s="360">
        <f>+(B451/B447)*30</f>
        <v>2.1479232148258056E-2</v>
      </c>
      <c r="C453" s="360">
        <f>+(C451/C447)*30</f>
        <v>1.4526891909404647E-2</v>
      </c>
      <c r="D453" s="10" t="str">
        <f>+IF(B453&gt;B454,"Financia a Proveedores", "Proveedores la Financian")</f>
        <v>Proveedores la Financian</v>
      </c>
      <c r="E453" s="9" t="s">
        <v>196</v>
      </c>
    </row>
    <row r="454" spans="1:9">
      <c r="A454" t="s">
        <v>197</v>
      </c>
      <c r="B454" s="360">
        <f>+(B452/B448)*30</f>
        <v>2.6004733907012408E-2</v>
      </c>
      <c r="C454" s="360">
        <f>+(C452/C448)*30</f>
        <v>3.0343286620069629</v>
      </c>
      <c r="D454" s="10" t="str">
        <f>+IF(B454&gt;B453,"Proveedores la Financian","Financia a Proveedores")</f>
        <v>Proveedores la Financian</v>
      </c>
      <c r="E454" s="9" t="s">
        <v>196</v>
      </c>
    </row>
    <row r="455" spans="1:9">
      <c r="A455" t="s">
        <v>198</v>
      </c>
      <c r="B455" s="208">
        <f>+((B452*4.5)/(B449*12))</f>
        <v>4.9368067571297345E-4</v>
      </c>
      <c r="C455" s="208">
        <f>+(C452*4.5)/(C449*12)</f>
        <v>5.0910565039539821E-2</v>
      </c>
      <c r="D455" s="59">
        <f>IF(B455&lt;=0,"ALERTA",(B452*4.5)/(B449*12))</f>
        <v>4.9368067571297345E-4</v>
      </c>
      <c r="E455" s="57" t="s">
        <v>346</v>
      </c>
      <c r="I455" t="s">
        <v>199</v>
      </c>
    </row>
    <row r="456" spans="1:9">
      <c r="A456" t="s">
        <v>200</v>
      </c>
      <c r="B456" t="s">
        <v>201</v>
      </c>
      <c r="C456" s="360"/>
      <c r="E456" s="9"/>
    </row>
    <row r="457" spans="1:9">
      <c r="A457" t="s">
        <v>202</v>
      </c>
      <c r="B457" s="60">
        <f>(B449/B447)</f>
        <v>0.54369900122624015</v>
      </c>
      <c r="C457" s="60">
        <f>(C449/C447)</f>
        <v>0.6810338582275004</v>
      </c>
      <c r="D457" s="2">
        <f>IF(B457&lt;=0,"ALERTA",(B454*4.5)/(B451*12))</f>
        <v>1.6717328940222262E-5</v>
      </c>
      <c r="E457" s="57" t="s">
        <v>203</v>
      </c>
    </row>
    <row r="458" spans="1:9">
      <c r="A458" t="s">
        <v>362</v>
      </c>
      <c r="B458" s="381">
        <f>_xlfn.STDEV.P(C429:N429)</f>
        <v>417556.35290899483</v>
      </c>
      <c r="C458" s="381">
        <f>_xlfn.STDEV.P(C429:AL429)</f>
        <v>287531.64802992786</v>
      </c>
      <c r="E458" s="57" t="s">
        <v>204</v>
      </c>
    </row>
    <row r="459" spans="1:9">
      <c r="A459" t="s">
        <v>205</v>
      </c>
      <c r="B459" s="382">
        <f>ABS(B458/B449)</f>
        <v>0.94262133159123118</v>
      </c>
      <c r="C459" s="366">
        <f>C458/C449</f>
        <v>1.0514118341029919</v>
      </c>
      <c r="D459" s="57"/>
      <c r="E459" s="57" t="s">
        <v>370</v>
      </c>
    </row>
    <row r="460" spans="1:9">
      <c r="A460" t="s">
        <v>371</v>
      </c>
      <c r="B460" s="60">
        <f>(B458/B447)</f>
        <v>0.51250227652070102</v>
      </c>
      <c r="C460" s="60">
        <f>+(C458/C447)</f>
        <v>0.71604705796521317</v>
      </c>
      <c r="D460" s="2" t="str">
        <f>+IF(B460&lt;20%,"Estables",IF(B460&lt;40%,"Normal",IF(B460&gt;40%,"Volatil")))</f>
        <v>Volatil</v>
      </c>
      <c r="E460" s="57" t="s">
        <v>207</v>
      </c>
    </row>
    <row r="461" spans="1:9">
      <c r="A461" t="s">
        <v>208</v>
      </c>
      <c r="B461" s="361">
        <f>COUNTIF(E427:P427,"&gt;0")</f>
        <v>12</v>
      </c>
      <c r="C461" s="362">
        <f>COUNTIF(E427:AN427,"&gt;0")</f>
        <v>34</v>
      </c>
      <c r="E461" s="57" t="s">
        <v>209</v>
      </c>
    </row>
    <row r="462" spans="1:9">
      <c r="A462" t="s">
        <v>210</v>
      </c>
      <c r="B462" s="363">
        <f>B461/12</f>
        <v>1</v>
      </c>
      <c r="C462" s="363">
        <f>C461/36</f>
        <v>0.94444444444444442</v>
      </c>
      <c r="D462" s="2" t="str">
        <f>+IF(B462&gt;90%,"Estable",IF(B462&gt;50%,"Intermitente",IF(B462&lt;50%,"Riesgoso")))</f>
        <v>Estable</v>
      </c>
      <c r="E462" s="57" t="s">
        <v>211</v>
      </c>
    </row>
    <row r="463" spans="1:9">
      <c r="A463" s="203"/>
      <c r="B463" s="204"/>
      <c r="C463" s="204"/>
      <c r="D463" s="205"/>
      <c r="E463" s="206"/>
    </row>
    <row r="464" spans="1:9">
      <c r="A464" t="s">
        <v>212</v>
      </c>
      <c r="B464" s="60">
        <f>AVERAGE(C427:H427)/AVERAGE(I427:N427)-1</f>
        <v>0.4150236714112181</v>
      </c>
      <c r="C464" s="60">
        <f>AVERAGE(C427:T427)/AVERAGE(U427:AL427)-1</f>
        <v>4.6127757719400302</v>
      </c>
      <c r="D464" s="2" t="str">
        <f>+IF(B464&gt;15%,"Bueno",IF(B464&gt;5%,"Estable",IF(B464&gt;1%,"Bajo",IF(B464&gt;-10%,"Alerta","Deterioro"))))</f>
        <v>Bueno</v>
      </c>
      <c r="E464" s="9" t="s">
        <v>213</v>
      </c>
    </row>
    <row r="465" spans="1:9" ht="14.65" thickBot="1"/>
    <row r="466" spans="1:9" ht="14.65" thickBot="1">
      <c r="A466" s="55" t="s">
        <v>214</v>
      </c>
      <c r="B466" s="61" t="s">
        <v>215</v>
      </c>
      <c r="C466" s="466" t="s">
        <v>178</v>
      </c>
      <c r="D466" s="467"/>
    </row>
    <row r="467" spans="1:9">
      <c r="A467" s="16" t="s">
        <v>216</v>
      </c>
      <c r="B467" s="62">
        <v>36</v>
      </c>
      <c r="C467" s="1" t="s">
        <v>217</v>
      </c>
    </row>
    <row r="468" spans="1:9">
      <c r="A468" s="3" t="s">
        <v>218</v>
      </c>
      <c r="B468" s="25">
        <v>36</v>
      </c>
      <c r="C468" s="1" t="s">
        <v>219</v>
      </c>
    </row>
    <row r="469" spans="1:9">
      <c r="A469" s="3" t="s">
        <v>220</v>
      </c>
      <c r="B469" s="25">
        <v>0</v>
      </c>
      <c r="C469" s="1" t="s">
        <v>221</v>
      </c>
    </row>
    <row r="470" spans="1:9">
      <c r="A470" s="3" t="s">
        <v>222</v>
      </c>
      <c r="B470" s="4" t="str">
        <f>IF(B469=1,"RECHAZAR","NO")</f>
        <v>NO</v>
      </c>
      <c r="C470" s="1" t="s">
        <v>223</v>
      </c>
    </row>
    <row r="471" spans="1:9">
      <c r="A471" s="3" t="s">
        <v>224</v>
      </c>
      <c r="B471" s="65">
        <v>350</v>
      </c>
      <c r="C471" s="1" t="s">
        <v>225</v>
      </c>
    </row>
    <row r="472" spans="1:9">
      <c r="A472" s="3" t="s">
        <v>226</v>
      </c>
      <c r="B472" s="323" t="str">
        <f>IF(B471&gt;1500,"ALERTA CONCENTRACION","OK")</f>
        <v>OK</v>
      </c>
      <c r="C472" s="1" t="s">
        <v>227</v>
      </c>
    </row>
    <row r="473" spans="1:9">
      <c r="A473" s="3" t="s">
        <v>228</v>
      </c>
      <c r="B473" s="66">
        <v>0.17949999999999999</v>
      </c>
      <c r="C473" s="1" t="s">
        <v>229</v>
      </c>
    </row>
    <row r="474" spans="1:9">
      <c r="A474" s="3" t="s">
        <v>230</v>
      </c>
      <c r="B474" s="67">
        <v>6.1799999999999995E-4</v>
      </c>
      <c r="C474" s="1" t="s">
        <v>231</v>
      </c>
    </row>
    <row r="475" spans="1:9">
      <c r="A475" s="3" t="s">
        <v>232</v>
      </c>
      <c r="B475" s="67">
        <v>0.04</v>
      </c>
      <c r="C475" s="1" t="s">
        <v>233</v>
      </c>
    </row>
    <row r="476" spans="1:9">
      <c r="A476" s="3" t="s">
        <v>234</v>
      </c>
      <c r="B476" s="68" t="str">
        <f>IF(B475&gt;0.2,"ALERTA","OK")</f>
        <v>OK</v>
      </c>
      <c r="C476" s="1" t="s">
        <v>177</v>
      </c>
    </row>
    <row r="477" spans="1:9">
      <c r="A477" s="3" t="s">
        <v>235</v>
      </c>
      <c r="B477" s="69"/>
      <c r="C477" s="1" t="s">
        <v>372</v>
      </c>
      <c r="I477" t="s">
        <v>373</v>
      </c>
    </row>
    <row r="478" spans="1:9">
      <c r="A478" s="3" t="s">
        <v>236</v>
      </c>
      <c r="B478" s="68" t="str">
        <f>IF(B477&gt;175,"NO",IF(B477="","Sin Buró","RECHAZAR"))</f>
        <v>Sin Buró</v>
      </c>
      <c r="C478" s="1" t="s">
        <v>177</v>
      </c>
    </row>
    <row r="479" spans="1:9" ht="14.65" thickBot="1">
      <c r="A479" s="6" t="s">
        <v>237</v>
      </c>
      <c r="B479" s="380" t="str">
        <f>IF(AND(B475&gt;0.1, B464&gt;0.5, B471&gt;3500),"Fachada RECHAZAR","NO FACHADA")</f>
        <v>NO FACHADA</v>
      </c>
      <c r="C479" s="1" t="s">
        <v>238</v>
      </c>
    </row>
    <row r="480" spans="1:9" ht="14.65" thickBot="1">
      <c r="A480" s="3" t="s">
        <v>239</v>
      </c>
      <c r="B480" s="69">
        <v>680</v>
      </c>
    </row>
    <row r="481" spans="1:7" ht="14.65" thickBot="1">
      <c r="A481" s="468" t="s">
        <v>240</v>
      </c>
      <c r="B481" s="469"/>
      <c r="C481" s="56" t="s">
        <v>177</v>
      </c>
      <c r="D481" s="56" t="s">
        <v>178</v>
      </c>
    </row>
    <row r="482" spans="1:7">
      <c r="A482" s="16" t="s">
        <v>241</v>
      </c>
      <c r="B482" s="70">
        <f>1992000+48706.861</f>
        <v>2040706.861</v>
      </c>
      <c r="D482" s="1" t="s">
        <v>242</v>
      </c>
    </row>
    <row r="483" spans="1:7">
      <c r="A483" s="3" t="s">
        <v>243</v>
      </c>
      <c r="B483" s="71">
        <v>135000</v>
      </c>
      <c r="D483" s="1" t="s">
        <v>244</v>
      </c>
    </row>
    <row r="484" spans="1:7">
      <c r="A484" s="3" t="s">
        <v>245</v>
      </c>
      <c r="B484" s="71">
        <v>429310.34</v>
      </c>
      <c r="D484" s="1" t="s">
        <v>245</v>
      </c>
    </row>
    <row r="485" spans="1:7">
      <c r="A485" s="3" t="s">
        <v>246</v>
      </c>
      <c r="B485" s="251">
        <f>B482-B483</f>
        <v>1905706.861</v>
      </c>
      <c r="D485" s="1" t="s">
        <v>247</v>
      </c>
    </row>
    <row r="486" spans="1:7">
      <c r="A486" s="3" t="s">
        <v>248</v>
      </c>
      <c r="B486" s="25">
        <v>48</v>
      </c>
    </row>
    <row r="487" spans="1:7">
      <c r="A487" s="3" t="s">
        <v>83</v>
      </c>
      <c r="B487" s="72">
        <f>+IF(B486&lt;24,30.2%,IF(B486&lt;36,26%,IF(B486&lt;48,24.55%,IF(B486&lt;60,23.82%,"0%"))))</f>
        <v>0.2382</v>
      </c>
      <c r="D487" s="73"/>
    </row>
    <row r="488" spans="1:7">
      <c r="A488" s="3" t="s">
        <v>249</v>
      </c>
      <c r="B488" s="216">
        <f>+PMT(B487/12,B486,-B485,B484)</f>
        <v>56508.248016444581</v>
      </c>
      <c r="C488" s="2" t="str">
        <f>IF(B489/B488&gt;2,"Bien",IF(B489/B488&gt;1.5,"Ok",IF(B489/B488&gt;1.2,"Alerta","Le falta Flujo")))</f>
        <v>Bien</v>
      </c>
      <c r="D488" s="1" t="s">
        <v>250</v>
      </c>
    </row>
    <row r="489" spans="1:7">
      <c r="A489" s="3" t="s">
        <v>189</v>
      </c>
      <c r="B489" s="216">
        <f>B450</f>
        <v>310081.51125000004</v>
      </c>
      <c r="C489" s="2" t="str">
        <f>IF(B450/B488&gt;2,"Buen Flujo",IF(B450/B488&gt;1.5,"Ok Flujo",IF(B450/B488&gt;1.1,"Flujo muy Justo","Flujo Insuficiente")))</f>
        <v>Buen Flujo</v>
      </c>
      <c r="D489" s="1" t="s">
        <v>251</v>
      </c>
    </row>
    <row r="490" spans="1:7">
      <c r="A490" s="3" t="s">
        <v>252</v>
      </c>
      <c r="B490" s="364">
        <f>+(B489/B488)</f>
        <v>5.4873672806094183</v>
      </c>
      <c r="C490" s="2" t="str">
        <f>+IF(B490&gt;1.5,"Comodo",IF(B490&gt;1.1,"Aceptable",IF(B490&lt;1.1,"Rechazo")))</f>
        <v>Comodo</v>
      </c>
      <c r="D490" t="s">
        <v>374</v>
      </c>
    </row>
    <row r="491" spans="1:7">
      <c r="A491" s="3" t="s">
        <v>253</v>
      </c>
      <c r="B491" s="289">
        <f>IF(B486&lt;=24,$B$584,IF(B486&lt;=36,$B$585,IF(B486&lt;=48,$B$586,$B$587)))</f>
        <v>2.5</v>
      </c>
      <c r="D491" t="s">
        <v>254</v>
      </c>
    </row>
    <row r="492" spans="1:7">
      <c r="A492" s="3" t="s">
        <v>255</v>
      </c>
      <c r="B492" s="365"/>
      <c r="C492" s="4" t="str">
        <f>IF(B490&gt;B491,"Suficiente",IF(B490&lt;1,"Negativo","AVAL"))</f>
        <v>Suficiente</v>
      </c>
      <c r="D492" t="s">
        <v>256</v>
      </c>
    </row>
    <row r="493" spans="1:7">
      <c r="A493" s="3" t="s">
        <v>257</v>
      </c>
      <c r="B493" s="72">
        <f>+B482/SUM(D427:O427)</f>
        <v>0.23572445166321535</v>
      </c>
      <c r="C493" s="2" t="str">
        <f>IF(B493&lt;0.1,"Excelente",IF(B493&lt;0.2,"Bien",IF(B493&lt;0.3,"Ok",IF(B493&lt;0.6,"Revisar",IF(B493&lt;0.9,"Alerta","Sobrepasado")))))</f>
        <v>Ok</v>
      </c>
      <c r="D493" t="s">
        <v>375</v>
      </c>
    </row>
    <row r="494" spans="1:7">
      <c r="A494" s="3" t="s">
        <v>258</v>
      </c>
      <c r="B494" s="216">
        <f>B489/B491</f>
        <v>124032.60450000002</v>
      </c>
      <c r="C494" s="74" t="str">
        <f>IF(B494/B488&gt;4,"Ok",IF(B494/B488&gt;2,"OK",IF((B494/B488)&gt;1.2,"Renta con Riesgo",IF(B494/B488&lt;1.1,"No Otorgar"))))</f>
        <v>OK</v>
      </c>
      <c r="D494" t="s">
        <v>259</v>
      </c>
      <c r="G494">
        <f>+B494/B488</f>
        <v>2.194946912243767</v>
      </c>
    </row>
    <row r="495" spans="1:7" ht="14.65" thickBot="1">
      <c r="A495" s="6" t="s">
        <v>260</v>
      </c>
      <c r="B495" s="367">
        <f>IF(B489&lt;0, 0, PV(B487/12,B486,-B494))</f>
        <v>3816105.4309099764</v>
      </c>
      <c r="C495" s="2" t="str">
        <f>+IF(B495/B482&gt;1,"Otorgar",IF(B495/B482&gt;0.75,"Revision","No Otorgar"))</f>
        <v>Otorgar</v>
      </c>
      <c r="D495" t="s">
        <v>261</v>
      </c>
    </row>
    <row r="496" spans="1:7" ht="14.65" thickBot="1"/>
    <row r="497" spans="1:39">
      <c r="A497" s="47" t="s">
        <v>262</v>
      </c>
      <c r="B497" s="48" t="s">
        <v>263</v>
      </c>
    </row>
    <row r="498" spans="1:39">
      <c r="A498" s="24" t="s">
        <v>264</v>
      </c>
      <c r="B498" s="25">
        <v>0.7</v>
      </c>
      <c r="M498" t="s">
        <v>265</v>
      </c>
    </row>
    <row r="499" spans="1:39">
      <c r="A499" s="24" t="s">
        <v>80</v>
      </c>
      <c r="B499" s="25">
        <v>3</v>
      </c>
      <c r="D499" t="s">
        <v>254</v>
      </c>
    </row>
    <row r="500" spans="1:39">
      <c r="A500" s="24" t="s">
        <v>85</v>
      </c>
      <c r="B500" s="25">
        <v>2.75</v>
      </c>
      <c r="D500" t="s">
        <v>254</v>
      </c>
    </row>
    <row r="501" spans="1:39">
      <c r="A501" s="24" t="s">
        <v>87</v>
      </c>
      <c r="B501" s="25">
        <v>2.5</v>
      </c>
      <c r="D501" t="s">
        <v>254</v>
      </c>
    </row>
    <row r="502" spans="1:39">
      <c r="A502" s="24" t="s">
        <v>88</v>
      </c>
      <c r="B502" s="25">
        <v>2.25</v>
      </c>
      <c r="D502" t="s">
        <v>254</v>
      </c>
    </row>
    <row r="503" spans="1:39">
      <c r="A503" s="24" t="s">
        <v>266</v>
      </c>
      <c r="B503" s="25">
        <v>6</v>
      </c>
      <c r="D503" t="s">
        <v>267</v>
      </c>
    </row>
    <row r="504" spans="1:39">
      <c r="A504" s="24" t="s">
        <v>268</v>
      </c>
      <c r="B504" s="25">
        <v>-10</v>
      </c>
      <c r="D504" t="s">
        <v>269</v>
      </c>
    </row>
    <row r="505" spans="1:39" ht="14.65" thickBot="1">
      <c r="A505" s="50" t="s">
        <v>270</v>
      </c>
      <c r="B505" s="75">
        <v>-30</v>
      </c>
      <c r="D505" t="s">
        <v>271</v>
      </c>
    </row>
    <row r="506" spans="1:39">
      <c r="A506" s="47"/>
      <c r="B506" s="48"/>
    </row>
    <row r="508" spans="1:39" ht="14.65" thickBot="1"/>
    <row r="509" spans="1:39" ht="27" thickBot="1">
      <c r="A509" s="391" t="s">
        <v>376</v>
      </c>
      <c r="B509" s="386"/>
      <c r="C509" s="386"/>
      <c r="D509" s="387"/>
      <c r="E509" s="388"/>
      <c r="F509" s="388"/>
      <c r="G509" s="388"/>
      <c r="H509" s="389"/>
      <c r="I509" s="386"/>
      <c r="J509" s="386"/>
      <c r="K509" s="386"/>
      <c r="L509" s="386"/>
      <c r="M509" s="386"/>
      <c r="N509" s="386"/>
      <c r="O509" s="386"/>
      <c r="P509" s="386"/>
      <c r="Q509" s="386"/>
      <c r="R509" s="386"/>
      <c r="S509" s="386"/>
      <c r="T509" s="386"/>
      <c r="U509" s="386"/>
      <c r="V509" s="386"/>
      <c r="W509" s="386"/>
      <c r="X509" s="386"/>
      <c r="Y509" s="386"/>
      <c r="Z509" s="386"/>
      <c r="AA509" s="386"/>
      <c r="AB509" s="386"/>
      <c r="AC509" s="386"/>
      <c r="AD509" s="386"/>
      <c r="AE509" s="386"/>
      <c r="AF509" s="386"/>
      <c r="AG509" s="386"/>
      <c r="AH509" s="386"/>
      <c r="AI509" s="386"/>
      <c r="AJ509" s="386"/>
      <c r="AK509" s="386"/>
      <c r="AL509" s="390"/>
    </row>
    <row r="510" spans="1:39" ht="14.65" thickBot="1">
      <c r="A510" s="30" t="s">
        <v>131</v>
      </c>
      <c r="C510" s="31">
        <v>46082</v>
      </c>
      <c r="D510" s="31">
        <v>46054</v>
      </c>
      <c r="E510" s="31">
        <f>+D510-1</f>
        <v>46053</v>
      </c>
      <c r="F510" s="31">
        <v>45992</v>
      </c>
      <c r="G510" s="31">
        <f t="shared" ref="G510:AL510" si="156">+F510-1</f>
        <v>45991</v>
      </c>
      <c r="H510" s="31">
        <v>45931</v>
      </c>
      <c r="I510" s="31">
        <v>45901</v>
      </c>
      <c r="J510" s="31">
        <v>45870</v>
      </c>
      <c r="K510" s="31">
        <v>45839</v>
      </c>
      <c r="L510" s="31">
        <v>46023</v>
      </c>
      <c r="M510" s="31">
        <v>45992</v>
      </c>
      <c r="N510" s="31">
        <f t="shared" ref="N510" si="157">+M510-1</f>
        <v>45991</v>
      </c>
      <c r="O510" s="31">
        <v>45993</v>
      </c>
      <c r="P510" s="31">
        <f t="shared" si="156"/>
        <v>45992</v>
      </c>
      <c r="Q510" s="31">
        <v>45809</v>
      </c>
      <c r="R510" s="31">
        <v>45778</v>
      </c>
      <c r="S510" s="31">
        <v>45748</v>
      </c>
      <c r="T510" s="31">
        <v>45717</v>
      </c>
      <c r="U510" s="31">
        <v>45962</v>
      </c>
      <c r="V510" s="31">
        <v>45931</v>
      </c>
      <c r="W510" s="31">
        <f t="shared" ref="W510" si="158">+V510-1</f>
        <v>45930</v>
      </c>
      <c r="X510" s="31">
        <v>45994</v>
      </c>
      <c r="Y510" s="31">
        <f t="shared" si="156"/>
        <v>45993</v>
      </c>
      <c r="Z510" s="31">
        <v>45689</v>
      </c>
      <c r="AA510" s="31">
        <v>45658</v>
      </c>
      <c r="AB510" s="31">
        <v>45627</v>
      </c>
      <c r="AC510" s="31">
        <v>45597</v>
      </c>
      <c r="AD510" s="31">
        <v>45901</v>
      </c>
      <c r="AE510" s="31">
        <v>45870</v>
      </c>
      <c r="AF510" s="31">
        <f t="shared" ref="AF510" si="159">+AE510-1</f>
        <v>45869</v>
      </c>
      <c r="AG510" s="31">
        <v>45995</v>
      </c>
      <c r="AH510" s="31">
        <f t="shared" si="156"/>
        <v>45994</v>
      </c>
      <c r="AI510" s="31">
        <f t="shared" si="156"/>
        <v>45993</v>
      </c>
      <c r="AJ510" s="31">
        <f t="shared" si="156"/>
        <v>45992</v>
      </c>
      <c r="AK510" s="31">
        <f t="shared" si="156"/>
        <v>45991</v>
      </c>
      <c r="AL510" s="31">
        <f t="shared" si="156"/>
        <v>45990</v>
      </c>
    </row>
    <row r="511" spans="1:39" ht="14.65" thickBot="1">
      <c r="A511" s="32" t="s">
        <v>132</v>
      </c>
      <c r="C511" s="33">
        <v>1</v>
      </c>
      <c r="D511" s="34">
        <v>2</v>
      </c>
      <c r="E511" s="34">
        <v>3</v>
      </c>
      <c r="F511" s="34">
        <v>4</v>
      </c>
      <c r="G511" s="34">
        <v>5</v>
      </c>
      <c r="H511" s="34">
        <v>6</v>
      </c>
      <c r="I511" s="34">
        <v>7</v>
      </c>
      <c r="J511" s="34">
        <v>8</v>
      </c>
      <c r="K511" s="34">
        <v>9</v>
      </c>
      <c r="L511" s="34">
        <v>10</v>
      </c>
      <c r="M511" s="34">
        <v>11</v>
      </c>
      <c r="N511" s="34">
        <v>12</v>
      </c>
      <c r="O511" s="34">
        <v>13</v>
      </c>
      <c r="P511" s="34">
        <v>14</v>
      </c>
      <c r="Q511" s="34">
        <v>15</v>
      </c>
      <c r="R511" s="34">
        <v>16</v>
      </c>
      <c r="S511" s="34">
        <v>17</v>
      </c>
      <c r="T511" s="34">
        <v>18</v>
      </c>
      <c r="U511" s="34">
        <v>19</v>
      </c>
      <c r="V511" s="34">
        <v>20</v>
      </c>
      <c r="W511" s="34">
        <v>21</v>
      </c>
      <c r="X511" s="34">
        <v>22</v>
      </c>
      <c r="Y511" s="34">
        <v>23</v>
      </c>
      <c r="Z511" s="34">
        <v>24</v>
      </c>
      <c r="AA511" s="34">
        <v>25</v>
      </c>
      <c r="AB511" s="34">
        <v>26</v>
      </c>
      <c r="AC511" s="34">
        <v>27</v>
      </c>
      <c r="AD511" s="34">
        <v>28</v>
      </c>
      <c r="AE511" s="34">
        <v>29</v>
      </c>
      <c r="AF511" s="34">
        <v>30</v>
      </c>
      <c r="AG511" s="34">
        <v>31</v>
      </c>
      <c r="AH511" s="34">
        <v>32</v>
      </c>
      <c r="AI511" s="34">
        <v>33</v>
      </c>
      <c r="AJ511" s="34">
        <v>34</v>
      </c>
      <c r="AK511" s="34">
        <v>35</v>
      </c>
      <c r="AL511" s="35">
        <v>36</v>
      </c>
      <c r="AM511" s="34">
        <v>37</v>
      </c>
    </row>
    <row r="512" spans="1:39">
      <c r="A512" s="36" t="s">
        <v>133</v>
      </c>
      <c r="B512" s="456" t="s">
        <v>134</v>
      </c>
      <c r="C512" s="37">
        <v>28125683.550000001</v>
      </c>
      <c r="D512" s="37">
        <v>10087866.25</v>
      </c>
      <c r="E512" s="37">
        <v>9519258.9399999995</v>
      </c>
      <c r="F512" s="37">
        <v>3557344.11</v>
      </c>
      <c r="G512" s="37">
        <v>6478270.5</v>
      </c>
      <c r="H512" s="37">
        <v>39404230.670000002</v>
      </c>
      <c r="I512" s="37">
        <v>45817834.710000001</v>
      </c>
      <c r="J512" s="37">
        <v>7236718.3200000003</v>
      </c>
      <c r="K512" s="37">
        <v>7001290.6299999999</v>
      </c>
      <c r="L512" s="37">
        <v>6698831.8099999996</v>
      </c>
      <c r="M512" s="37">
        <v>14650559.949999999</v>
      </c>
      <c r="N512" s="37">
        <v>3437140.54</v>
      </c>
      <c r="O512" s="37">
        <v>12931.04</v>
      </c>
      <c r="P512" s="37">
        <v>142259.01999999999</v>
      </c>
      <c r="Q512" s="37">
        <v>1169686.6100000001</v>
      </c>
      <c r="R512" s="37">
        <v>81018</v>
      </c>
      <c r="S512" s="37">
        <v>224860.34</v>
      </c>
      <c r="T512" s="37">
        <v>464235.2</v>
      </c>
      <c r="U512" s="37">
        <v>1038388.46</v>
      </c>
      <c r="V512" s="37">
        <v>1422500.07</v>
      </c>
      <c r="W512" s="37">
        <v>1164662.3600000001</v>
      </c>
      <c r="X512" s="37">
        <v>2372120.1800000002</v>
      </c>
      <c r="Y512" s="37">
        <v>1986799.97</v>
      </c>
      <c r="Z512" s="37">
        <v>2407139.77</v>
      </c>
      <c r="AA512" s="37">
        <v>518830.43</v>
      </c>
      <c r="AB512" s="37">
        <v>273956.40000000002</v>
      </c>
      <c r="AC512" s="37">
        <v>248751</v>
      </c>
      <c r="AD512" s="37">
        <v>133511</v>
      </c>
      <c r="AE512" s="37">
        <v>693187.26</v>
      </c>
      <c r="AF512" s="37">
        <v>631806.22</v>
      </c>
      <c r="AG512" s="37">
        <v>511878.62</v>
      </c>
      <c r="AH512" s="37">
        <v>537058.79</v>
      </c>
      <c r="AI512" s="37">
        <v>1017694.22</v>
      </c>
      <c r="AJ512" s="37">
        <v>4176419.85</v>
      </c>
      <c r="AK512" s="37">
        <v>2662040.7999999998</v>
      </c>
      <c r="AL512" s="37">
        <v>808296.04</v>
      </c>
      <c r="AM512" s="38" t="e">
        <f>+#REF!</f>
        <v>#REF!</v>
      </c>
    </row>
    <row r="513" spans="1:79">
      <c r="A513" s="36" t="s">
        <v>135</v>
      </c>
      <c r="B513" s="457"/>
      <c r="C513" s="39">
        <v>23640019.329999998</v>
      </c>
      <c r="D513" s="39">
        <v>17652178.300000001</v>
      </c>
      <c r="E513" s="39">
        <v>9614639.9399999995</v>
      </c>
      <c r="F513" s="39">
        <v>13354285.5</v>
      </c>
      <c r="G513" s="39">
        <v>21181881.469999999</v>
      </c>
      <c r="H513" s="39">
        <v>22097318.649999999</v>
      </c>
      <c r="I513" s="39">
        <v>10516669.609999999</v>
      </c>
      <c r="J513" s="39">
        <v>7650729.8399999999</v>
      </c>
      <c r="K513" s="39">
        <v>7556697.7400000002</v>
      </c>
      <c r="L513" s="39">
        <v>8063004.8499999996</v>
      </c>
      <c r="M513" s="39">
        <v>11791670.02</v>
      </c>
      <c r="N513" s="39">
        <v>2414753.39</v>
      </c>
      <c r="O513" s="39">
        <v>122885.67</v>
      </c>
      <c r="P513" s="39">
        <v>151549.14000000001</v>
      </c>
      <c r="Q513" s="39">
        <v>1190691.03</v>
      </c>
      <c r="R513" s="39">
        <v>97114.6</v>
      </c>
      <c r="S513" s="39">
        <v>217226.06</v>
      </c>
      <c r="T513" s="39">
        <v>682784.4</v>
      </c>
      <c r="U513" s="39">
        <v>998891.2</v>
      </c>
      <c r="V513" s="39">
        <v>1482900.76</v>
      </c>
      <c r="W513" s="39">
        <v>1022842.85</v>
      </c>
      <c r="X513" s="39">
        <v>2046586.65</v>
      </c>
      <c r="Y513" s="39">
        <v>1715615.12</v>
      </c>
      <c r="Z513" s="39">
        <v>1124789.99</v>
      </c>
      <c r="AA513" s="39">
        <v>188219.6</v>
      </c>
      <c r="AB513" s="39">
        <v>280888.89</v>
      </c>
      <c r="AC513" s="39">
        <v>264481.31</v>
      </c>
      <c r="AD513" s="39">
        <v>759862.03</v>
      </c>
      <c r="AE513" s="39">
        <v>363537.41</v>
      </c>
      <c r="AF513" s="39">
        <v>3183969.13</v>
      </c>
      <c r="AG513" s="39">
        <v>218389.48</v>
      </c>
      <c r="AH513" s="39">
        <v>682170.69</v>
      </c>
      <c r="AI513" s="39">
        <v>572406.6</v>
      </c>
      <c r="AJ513" s="39">
        <v>2555431.77</v>
      </c>
      <c r="AK513" s="39">
        <v>2556925.48</v>
      </c>
      <c r="AL513" s="39">
        <v>870203.62</v>
      </c>
      <c r="AM513" s="40" t="e">
        <f>+#REF!</f>
        <v>#REF!</v>
      </c>
      <c r="AO513" s="41"/>
      <c r="AS513" s="42"/>
      <c r="AT513" s="42"/>
      <c r="AU513" s="42"/>
    </row>
    <row r="514" spans="1:79">
      <c r="A514" s="36" t="s">
        <v>136</v>
      </c>
      <c r="B514" s="457"/>
      <c r="C514" s="39">
        <v>-8546590</v>
      </c>
      <c r="D514" s="39">
        <v>-3448981</v>
      </c>
      <c r="E514" s="39">
        <v>-2491829.5</v>
      </c>
      <c r="F514" s="39">
        <v>-6012892.5</v>
      </c>
      <c r="G514" s="39">
        <v>-18926787.25</v>
      </c>
      <c r="H514" s="39">
        <v>15049916</v>
      </c>
      <c r="I514" s="39">
        <v>38230640</v>
      </c>
      <c r="J514" s="39">
        <v>-3837394.75</v>
      </c>
      <c r="K514" s="39">
        <v>273439.5</v>
      </c>
      <c r="L514" s="39">
        <v>2196991.5</v>
      </c>
      <c r="M514" s="39">
        <v>1212940</v>
      </c>
      <c r="N514" s="39">
        <v>-1091257.6299999999</v>
      </c>
      <c r="O514" s="39">
        <v>-109139.74</v>
      </c>
      <c r="P514" s="39">
        <v>14351.28</v>
      </c>
      <c r="Q514" s="39">
        <v>-6808</v>
      </c>
      <c r="R514" s="39">
        <v>45223.63</v>
      </c>
      <c r="S514" s="39">
        <v>62498.05</v>
      </c>
      <c r="T514" s="39">
        <v>76157.63</v>
      </c>
      <c r="U514" s="39">
        <v>93550.31</v>
      </c>
      <c r="V514" s="39">
        <v>304501.75</v>
      </c>
      <c r="W514" s="39">
        <v>76281.81</v>
      </c>
      <c r="X514" s="39">
        <v>414347.25</v>
      </c>
      <c r="Y514" s="39">
        <v>553573</v>
      </c>
      <c r="Z514" s="39">
        <v>1225681</v>
      </c>
      <c r="AA514" s="39">
        <v>544088.02</v>
      </c>
      <c r="AB514" s="39">
        <v>159409</v>
      </c>
      <c r="AC514" s="39">
        <v>-9763.7199999999993</v>
      </c>
      <c r="AD514" s="39">
        <v>-43686.69</v>
      </c>
      <c r="AE514" s="39">
        <v>-39048.589999999997</v>
      </c>
      <c r="AF514" s="39">
        <v>-497070.13</v>
      </c>
      <c r="AG514" s="39">
        <v>348447.84</v>
      </c>
      <c r="AH514" s="39">
        <v>-209729.19</v>
      </c>
      <c r="AI514" s="39">
        <v>460543.44</v>
      </c>
      <c r="AJ514" s="39">
        <v>1687930</v>
      </c>
      <c r="AK514" s="39">
        <v>68073</v>
      </c>
      <c r="AL514" s="39">
        <v>-11460.06</v>
      </c>
      <c r="AM514" s="40" t="e">
        <f>+#REF!</f>
        <v>#REF!</v>
      </c>
      <c r="AO514" s="42"/>
      <c r="AP514" s="41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</row>
    <row r="515" spans="1:79">
      <c r="A515" s="36" t="s">
        <v>137</v>
      </c>
      <c r="B515" s="457"/>
      <c r="C515" s="39">
        <v>23761072.760000002</v>
      </c>
      <c r="D515" s="39">
        <v>473213.89</v>
      </c>
      <c r="E515" s="39">
        <v>300675.38</v>
      </c>
      <c r="F515" s="39">
        <v>101482.85</v>
      </c>
      <c r="G515" s="39">
        <v>2310485.63</v>
      </c>
      <c r="H515" s="39">
        <v>928947.36</v>
      </c>
      <c r="I515" s="39">
        <v>1156406.04</v>
      </c>
      <c r="J515" s="39">
        <v>2026990.03</v>
      </c>
      <c r="K515" s="39">
        <v>0</v>
      </c>
      <c r="L515" s="39">
        <v>0</v>
      </c>
      <c r="M515" s="39">
        <v>860036.64</v>
      </c>
      <c r="N515" s="39">
        <v>1453616.95</v>
      </c>
      <c r="O515" s="39">
        <v>0.01</v>
      </c>
      <c r="P515" s="39">
        <v>0</v>
      </c>
      <c r="Q515" s="39">
        <v>0</v>
      </c>
      <c r="R515" s="39">
        <v>0</v>
      </c>
      <c r="S515" s="39">
        <v>0</v>
      </c>
      <c r="T515" s="39">
        <v>0</v>
      </c>
      <c r="U515" s="39">
        <v>40600</v>
      </c>
      <c r="V515" s="39">
        <v>0</v>
      </c>
      <c r="W515" s="39">
        <v>0</v>
      </c>
      <c r="X515" s="39">
        <v>0</v>
      </c>
      <c r="Y515" s="39">
        <v>0</v>
      </c>
      <c r="Z515" s="39">
        <v>0</v>
      </c>
      <c r="AA515" s="39">
        <v>0</v>
      </c>
      <c r="AB515" s="39">
        <v>0</v>
      </c>
      <c r="AC515" s="39">
        <v>0</v>
      </c>
      <c r="AD515" s="39">
        <v>0</v>
      </c>
      <c r="AE515" s="39">
        <v>466843.84</v>
      </c>
      <c r="AF515" s="39">
        <v>14268</v>
      </c>
      <c r="AG515" s="39">
        <v>34800</v>
      </c>
      <c r="AH515" s="39">
        <v>0</v>
      </c>
      <c r="AI515" s="39">
        <v>0</v>
      </c>
      <c r="AJ515" s="39">
        <v>0</v>
      </c>
      <c r="AK515" s="39">
        <v>0</v>
      </c>
      <c r="AL515" s="39">
        <v>0</v>
      </c>
      <c r="AM515" s="40" t="e">
        <f>+#REF!</f>
        <v>#REF!</v>
      </c>
      <c r="AO515" s="42"/>
      <c r="AP515" s="1"/>
      <c r="AQ515" s="41"/>
      <c r="AR515" s="43"/>
      <c r="AS515" s="43"/>
      <c r="AT515" s="43"/>
      <c r="AU515" s="43"/>
      <c r="AV515" s="43"/>
      <c r="AW515" s="43"/>
      <c r="AX515" s="43"/>
      <c r="AY515" s="43"/>
      <c r="AZ515" s="43"/>
      <c r="BA515" s="43"/>
      <c r="BB515" s="43"/>
      <c r="BC515" s="43"/>
      <c r="BD515" s="43"/>
      <c r="BE515" s="43"/>
      <c r="BF515" s="43"/>
      <c r="BG515" s="43"/>
      <c r="BH515" s="43"/>
      <c r="BI515" s="43"/>
      <c r="BJ515" s="43"/>
      <c r="BK515" s="43"/>
      <c r="BL515" s="43"/>
      <c r="BM515" s="43"/>
      <c r="BN515" s="43"/>
      <c r="BO515" s="43"/>
      <c r="BP515" s="43"/>
      <c r="BQ515" s="43"/>
      <c r="BR515" s="43"/>
      <c r="BS515" s="43"/>
      <c r="BT515" s="43"/>
      <c r="BU515" s="43"/>
      <c r="BV515" s="43"/>
      <c r="BW515" s="43"/>
      <c r="BX515" s="43"/>
      <c r="BY515" s="43"/>
      <c r="BZ515" s="43"/>
      <c r="CA515" s="43"/>
    </row>
    <row r="516" spans="1:79" ht="14.65" thickBot="1">
      <c r="A516" s="44" t="s">
        <v>138</v>
      </c>
      <c r="B516" s="458"/>
      <c r="C516" s="45">
        <v>3326316.95</v>
      </c>
      <c r="D516" s="45">
        <v>1194358.48</v>
      </c>
      <c r="E516" s="45">
        <v>108653.07</v>
      </c>
      <c r="F516" s="45">
        <v>7440.69</v>
      </c>
      <c r="G516" s="45">
        <v>429318.5</v>
      </c>
      <c r="H516" s="45">
        <v>2037313.44</v>
      </c>
      <c r="I516" s="45">
        <v>113680</v>
      </c>
      <c r="J516" s="45">
        <v>0</v>
      </c>
      <c r="K516" s="45">
        <v>13.92</v>
      </c>
      <c r="L516" s="45">
        <v>3884.9</v>
      </c>
      <c r="M516" s="45">
        <v>4002</v>
      </c>
      <c r="N516" s="45">
        <v>0</v>
      </c>
      <c r="O516" s="45">
        <v>0</v>
      </c>
      <c r="P516" s="45">
        <v>0</v>
      </c>
      <c r="Q516" s="45">
        <v>0</v>
      </c>
      <c r="R516" s="45">
        <v>700.07</v>
      </c>
      <c r="S516" s="45">
        <v>25786.080000000002</v>
      </c>
      <c r="T516" s="45">
        <v>3326.14</v>
      </c>
      <c r="U516" s="45">
        <v>214578.14</v>
      </c>
      <c r="V516" s="45">
        <v>84.96</v>
      </c>
      <c r="W516" s="45">
        <v>3364.71</v>
      </c>
      <c r="X516" s="45">
        <v>12638.72</v>
      </c>
      <c r="Y516" s="45">
        <v>6531.16</v>
      </c>
      <c r="Z516" s="45">
        <v>18791.830000000002</v>
      </c>
      <c r="AA516" s="45">
        <v>0</v>
      </c>
      <c r="AB516" s="45">
        <v>3000</v>
      </c>
      <c r="AC516" s="45">
        <v>35500</v>
      </c>
      <c r="AD516" s="45">
        <v>685751.58</v>
      </c>
      <c r="AE516" s="45">
        <v>2000</v>
      </c>
      <c r="AF516" s="45">
        <v>2343000.0099999998</v>
      </c>
      <c r="AG516" s="45">
        <v>0</v>
      </c>
      <c r="AH516" s="45">
        <v>2003.7</v>
      </c>
      <c r="AI516" s="45">
        <v>2770.15</v>
      </c>
      <c r="AJ516" s="45">
        <v>2629.36</v>
      </c>
      <c r="AK516" s="45">
        <v>6228.21</v>
      </c>
      <c r="AL516" s="45">
        <v>0</v>
      </c>
      <c r="AM516" s="46" t="e">
        <f>+#REF!</f>
        <v>#REF!</v>
      </c>
      <c r="AO516" s="42"/>
      <c r="AP516" s="43"/>
      <c r="AQ516" s="1"/>
      <c r="AR516" s="42"/>
      <c r="AS516" s="42"/>
      <c r="AT516" s="42"/>
      <c r="AU516" s="42"/>
      <c r="AV516" s="42"/>
      <c r="AW516" s="42"/>
      <c r="AX516" s="42"/>
      <c r="AY516" s="42"/>
      <c r="AZ516" s="42"/>
    </row>
    <row r="517" spans="1:79" ht="14.65" thickBot="1">
      <c r="AO517" s="43"/>
      <c r="AP517" s="43"/>
      <c r="AQ517" s="43"/>
      <c r="AR517" s="43"/>
      <c r="AS517" s="43"/>
      <c r="AT517" s="43"/>
      <c r="AU517" s="43"/>
      <c r="AV517" s="43"/>
      <c r="AW517" s="43"/>
      <c r="AX517" s="43"/>
      <c r="AY517" s="43"/>
      <c r="AZ517" s="43"/>
      <c r="BA517" s="43"/>
      <c r="BB517" s="43"/>
      <c r="BC517" s="43"/>
      <c r="BD517" s="43"/>
      <c r="BE517" s="43"/>
      <c r="BF517" s="43"/>
      <c r="BG517" s="43"/>
      <c r="BH517" s="43"/>
      <c r="BI517" s="43"/>
      <c r="BJ517" s="43"/>
      <c r="BK517" s="43"/>
      <c r="BL517" s="43"/>
      <c r="BM517" s="43"/>
      <c r="BN517" s="43"/>
      <c r="BO517" s="43"/>
      <c r="BP517" s="43"/>
      <c r="BQ517" s="43"/>
      <c r="BR517" s="43"/>
      <c r="BS517" s="43"/>
      <c r="BT517" s="43"/>
      <c r="BU517" s="43"/>
      <c r="BV517" s="43"/>
      <c r="BW517" s="1"/>
    </row>
    <row r="518" spans="1:79">
      <c r="A518" s="47" t="s">
        <v>139</v>
      </c>
      <c r="B518" s="48" t="s">
        <v>140</v>
      </c>
      <c r="C518" t="s">
        <v>141</v>
      </c>
      <c r="E518" s="455" t="s">
        <v>142</v>
      </c>
      <c r="F518" s="455"/>
      <c r="I518" s="463" t="s">
        <v>143</v>
      </c>
      <c r="J518" s="463"/>
      <c r="M518" s="475" t="s">
        <v>144</v>
      </c>
      <c r="N518" s="475"/>
      <c r="AC518" s="42"/>
      <c r="AD518" s="42"/>
      <c r="AE518" s="42"/>
      <c r="AF518" s="42"/>
      <c r="AG518" s="42"/>
      <c r="AH518" s="42"/>
      <c r="AI518" s="42"/>
      <c r="AJ518" s="42"/>
      <c r="AK518" s="42"/>
      <c r="AP518" s="43"/>
    </row>
    <row r="519" spans="1:79">
      <c r="A519" s="24" t="s">
        <v>145</v>
      </c>
      <c r="B519" s="72">
        <v>0.35</v>
      </c>
      <c r="C519" s="217">
        <f>+B519*F523</f>
        <v>21.349999999999998</v>
      </c>
      <c r="E519" s="49" t="s">
        <v>146</v>
      </c>
      <c r="F519">
        <f>IF(B575&gt;=(B576*1.5),100,IF(B575&gt;=(B576*1.3),80,IF(B575&gt;=(B576*1),50,IF(B575&gt;=(B576*0.75),30,IF(B575&gt;=(B576*0.5),0,IF(B575&lt;=0,-30))))))</f>
        <v>100</v>
      </c>
      <c r="G519" s="7"/>
      <c r="I519" s="49" t="s">
        <v>147</v>
      </c>
      <c r="J519">
        <f>IF(B560&lt;0.02,100,
IF(B560&lt;0.05,70,
IF(B560&lt;0.8,40,0)))</f>
        <v>40</v>
      </c>
      <c r="M519" s="49" t="s">
        <v>148</v>
      </c>
      <c r="N519">
        <f>IF(B553&gt;=36,100,
IF(B553&gt;=24,80,
IF(B553&gt;=12,60,40)))</f>
        <v>100</v>
      </c>
      <c r="AO519" s="43"/>
      <c r="AP519" s="43"/>
    </row>
    <row r="520" spans="1:79">
      <c r="A520" s="24" t="s">
        <v>61</v>
      </c>
      <c r="B520" s="72">
        <v>0.25</v>
      </c>
      <c r="C520" s="217">
        <f>+B520*N525</f>
        <v>10.75</v>
      </c>
      <c r="E520" s="49" t="s">
        <v>149</v>
      </c>
      <c r="F520">
        <f>IF(B542&gt;0.3,100,IF(B542&gt;0.2,80,IF(B542&gt;0.15,60,IF(B542&gt;0.1,40,IF(B542&gt;0.05,20,IF(B542&gt;0,0,-20))))))</f>
        <v>20</v>
      </c>
      <c r="G520" s="7"/>
      <c r="I520" s="49" t="s">
        <v>150</v>
      </c>
      <c r="J520">
        <f>IF(B554=1,-100,100)</f>
        <v>100</v>
      </c>
      <c r="M520" s="49" t="s">
        <v>151</v>
      </c>
      <c r="N520">
        <f>IF(B552&gt;=24,100,
IF(B552&gt;=12,80,
IF(B552&gt;=6,60,40)))</f>
        <v>100</v>
      </c>
      <c r="AF520" s="28"/>
      <c r="AG520" s="27"/>
      <c r="AO520" s="43"/>
      <c r="AP520" s="43"/>
    </row>
    <row r="521" spans="1:79" ht="14.65" thickBot="1">
      <c r="A521" s="24" t="s">
        <v>152</v>
      </c>
      <c r="B521" s="72">
        <v>7.4999999999999997E-2</v>
      </c>
      <c r="C521" s="217">
        <f>+B521*J522</f>
        <v>6</v>
      </c>
      <c r="E521" s="49" t="s">
        <v>153</v>
      </c>
      <c r="F521">
        <f>IF(B545&lt;0.1,100,IF(B545&lt;0.2,70,IF(B545&lt;0.3,50,IF(B545&lt;0.4,30,IF(B545&lt;0.5,20,IF(B545&gt;0.5,0,))))))</f>
        <v>0</v>
      </c>
      <c r="G521" s="7"/>
      <c r="I521" s="49" t="s">
        <v>154</v>
      </c>
      <c r="J521">
        <f>IF(B564="NO FACHADA",100,-50)</f>
        <v>100</v>
      </c>
      <c r="M521" s="49" t="s">
        <v>155</v>
      </c>
      <c r="N521">
        <f>IF(B549&gt;0.2,100,
IF(B549&gt;0.1,80,
IF(B549&gt;0,40,IF(B549&gt;-0.05,0,-40))))</f>
        <v>80</v>
      </c>
      <c r="AF521" s="28"/>
      <c r="AO521" s="43"/>
      <c r="AP521" s="43"/>
    </row>
    <row r="522" spans="1:79" ht="15" thickTop="1" thickBot="1">
      <c r="A522" s="24" t="s">
        <v>156</v>
      </c>
      <c r="B522" s="72">
        <v>7.4999999999999997E-2</v>
      </c>
      <c r="C522" s="217">
        <f>+B522*J528</f>
        <v>2.5</v>
      </c>
      <c r="E522" s="49" t="str">
        <f>+A578</f>
        <v>Activo VS ventas anuales</v>
      </c>
      <c r="F522">
        <f>IF(B578&lt;0.1,100,
IF(B578&lt;0.2,80,
IF(B578&lt;0.3,40,IF(B578&lt;0.5,20,IF(B578&lt;0.7,0,-40)))))</f>
        <v>100</v>
      </c>
      <c r="G522" s="7"/>
      <c r="J522" s="215">
        <f>AVERAGE(J519,J520,J521)</f>
        <v>80</v>
      </c>
      <c r="M522" s="49" t="s">
        <v>157</v>
      </c>
      <c r="N522">
        <f>IF(B538&lt;30,100,IF(B538&lt;45,90,IF(B538&lt;60,75,IF(B538&lt;75,60,IF(B538&lt;90,40,20)))))</f>
        <v>100</v>
      </c>
      <c r="AO522" s="43"/>
      <c r="AP522" s="43"/>
    </row>
    <row r="523" spans="1:79" ht="15" thickTop="1" thickBot="1">
      <c r="A523" s="50" t="s">
        <v>158</v>
      </c>
      <c r="B523" s="368">
        <v>0.25</v>
      </c>
      <c r="C523" s="217">
        <f>+B523*F528</f>
        <v>19.399999999999999</v>
      </c>
      <c r="D523" s="217">
        <f>+B523*G528</f>
        <v>25</v>
      </c>
      <c r="F523" s="215">
        <f>F519*0.4 + F520*0.3 + F521*0.15+F522*0.15</f>
        <v>61</v>
      </c>
      <c r="M523" s="49" t="s">
        <v>159</v>
      </c>
      <c r="N523">
        <f>IF(AND(B539&gt;=30,B539&lt;=60),100,IF(OR(AND(B539&gt;=15,B539&lt;30),AND(B539&gt;60,B539&lt;=75)),70,20))</f>
        <v>20</v>
      </c>
      <c r="AO523" s="43"/>
      <c r="AP523" s="43"/>
    </row>
    <row r="524" spans="1:79" ht="16.149999999999999" thickBot="1">
      <c r="A524" s="377" t="s">
        <v>360</v>
      </c>
      <c r="B524" s="378">
        <f>+(C519+C520+C521+C522+C523)*10</f>
        <v>599.99999999999989</v>
      </c>
      <c r="I524" s="464" t="s">
        <v>160</v>
      </c>
      <c r="J524" s="464"/>
      <c r="M524" s="49" t="str">
        <f>+A544</f>
        <v>Coeficiente Variacion Flujo</v>
      </c>
      <c r="N524">
        <f>IF(B534&lt;0,IF(B544&gt;2,-30,0),IF(B544&lt;1,100,IF(B544&lt;2,70,IF(B544&lt;3,40,IF(B544&lt;4,30,IF(B544&lt;5,0,-30))))))</f>
        <v>-30</v>
      </c>
      <c r="AO524" s="43"/>
      <c r="AP524" s="43"/>
    </row>
    <row r="525" spans="1:79" ht="16.5" thickTop="1" thickBot="1">
      <c r="A525" s="44" t="s">
        <v>361</v>
      </c>
      <c r="B525" s="379">
        <f>+(C519+C520+C521+C522+D523)*10</f>
        <v>656</v>
      </c>
      <c r="C525" s="384" t="str">
        <f>IF(B525&gt;=850,"Excelente Candidato",
IF(B525&gt;=700,"Aprobación",
IF(B525&gt;=550,"Aprobar con Aval",
IF(B525&gt;=500,"Revisar con Obligado",IF(B525&gt;=400,"Solicitar Aval * Depósitos","Sugerenica Rechazo")))))</f>
        <v>Aprobar con Aval</v>
      </c>
      <c r="E525" s="465" t="s">
        <v>161</v>
      </c>
      <c r="F525" s="465"/>
      <c r="G525" s="23" t="s">
        <v>162</v>
      </c>
      <c r="I525" s="49" t="s">
        <v>163</v>
      </c>
      <c r="J525">
        <f>IF(B556&lt;1500,100,IF(B556&lt;2000,50,IF(B556&lt;2500,25,IF(B556&lt;3500,0,IF(B556&gt;=3500,-30,)))))</f>
        <v>0</v>
      </c>
      <c r="N525" s="357">
        <f>(N519*0.05)+
(N520*0.05)+
(N521*0.3)+
(N522*0.15)+
(N523*0.15)+
(N524*0.3)</f>
        <v>43</v>
      </c>
      <c r="AO525" s="43"/>
      <c r="AP525" s="43"/>
    </row>
    <row r="526" spans="1:79">
      <c r="A526" s="8" t="s">
        <v>164</v>
      </c>
      <c r="B526" s="383" t="str">
        <f>IF(B525&gt;=850,"Muy poco riesgo",
IF(B525&gt;=700,"Riesgo Bajo",
IF(B525&gt;=600,"Riesgo aceptable",
IF(B525&gt;=500,"Riesgo Medio",IF(B525&gt;=400,"Riesgo Alto","Riesgo muy Alto")))))</f>
        <v>Riesgo aceptable</v>
      </c>
      <c r="C526" s="318" t="str">
        <f>+IF(B555="RECHAZAR","RECHAZAR",IF(B561="ALERTA","ALERTA","NO en listas negras"))</f>
        <v>NO en listas negras</v>
      </c>
      <c r="E526" s="49" t="s">
        <v>165</v>
      </c>
      <c r="F526">
        <f>IF(B562&gt;=330,100,IF(B562&gt;=300,80,IF(B562&gt;=270,72,IF(B562&gt;=240,68,IF(B562&gt;=220,64,IF(B562&gt;=200,40,IF(B562&gt;=180,10,IF(B562="",30,0))))))))</f>
        <v>68</v>
      </c>
      <c r="G526" s="2" t="s">
        <v>166</v>
      </c>
      <c r="I526" s="49" t="s">
        <v>167</v>
      </c>
      <c r="J526">
        <f>IF(B558&lt;0.15,100,
IF(B558&lt;0.25,80,
IF(B558&lt;0.35,50,IF(B558&lt;0.5,0,IF(B558&gt;0.5,-50)))))</f>
        <v>0</v>
      </c>
      <c r="AO526" s="43"/>
      <c r="AP526" s="43"/>
    </row>
    <row r="527" spans="1:79" ht="14.65" thickBot="1">
      <c r="A527" s="8" t="s">
        <v>136</v>
      </c>
      <c r="B527" s="319" t="str">
        <f>+C577</f>
        <v>Suficiente</v>
      </c>
      <c r="C527" s="320" t="str">
        <f>+B564</f>
        <v>NO FACHADA</v>
      </c>
      <c r="E527" s="8" t="str">
        <f>+A540</f>
        <v>CxP / Flujo Operativo</v>
      </c>
      <c r="F527">
        <f>IF(B534&lt;0, -20, IF(B540&lt;1, 100, IF(B540&lt;2, 70, IF(B540&lt;3, 40, IF(B540&lt;5, 30, 0)))))</f>
        <v>100</v>
      </c>
      <c r="G527" s="385">
        <f>IF(B534&lt;0, -20, IF(B540&lt;1, 100, IF(B540&lt;2, 70, IF(B540&lt;3, 40, IF(B540&lt;5, 30, 0)))))</f>
        <v>100</v>
      </c>
      <c r="I527" s="49" t="s">
        <v>168</v>
      </c>
      <c r="J527">
        <f>IF(B559&lt;0.05,100,
IF(B559&lt;0.1,80,IF(B559&lt;0.2,50,IF(B559&lt;0.4,0,-40))))</f>
        <v>100</v>
      </c>
      <c r="AO527" s="43"/>
      <c r="AP527" s="43"/>
    </row>
    <row r="528" spans="1:79" ht="15" thickTop="1" thickBot="1">
      <c r="A528" s="8" t="s">
        <v>156</v>
      </c>
      <c r="B528" s="321" t="str">
        <f>+B557</f>
        <v>ALERTA CONCENTRACION</v>
      </c>
      <c r="C528" s="322" t="str">
        <f>+C574</f>
        <v>Buen Flujo</v>
      </c>
      <c r="F528" s="214">
        <f>(F526*0.7)+(F527*0.3)</f>
        <v>77.599999999999994</v>
      </c>
      <c r="G528" s="214">
        <f>(G527*1)</f>
        <v>100</v>
      </c>
      <c r="J528" s="215">
        <f>AVERAGE(J525,J526,J527)</f>
        <v>33.333333333333336</v>
      </c>
      <c r="AO528" s="43"/>
      <c r="AP528" s="43"/>
    </row>
    <row r="529" spans="1:42" ht="14.65" thickBot="1">
      <c r="L529" s="470" t="s">
        <v>169</v>
      </c>
      <c r="M529" s="471"/>
      <c r="AO529" s="43"/>
      <c r="AP529" s="43"/>
    </row>
    <row r="530" spans="1:42" ht="21.4" thickBot="1">
      <c r="A530" s="51" t="s">
        <v>171</v>
      </c>
      <c r="B530" s="52" t="s">
        <v>172</v>
      </c>
      <c r="D530" s="53"/>
      <c r="K530" s="28"/>
      <c r="L530" s="241" t="s">
        <v>102</v>
      </c>
      <c r="M530" s="241" t="s">
        <v>103</v>
      </c>
      <c r="N530" s="54"/>
      <c r="AO530" s="43"/>
      <c r="AP530" s="43"/>
    </row>
    <row r="531" spans="1:42" ht="14.65" thickBot="1">
      <c r="A531" s="55" t="s">
        <v>174</v>
      </c>
      <c r="B531" s="56" t="s">
        <v>175</v>
      </c>
      <c r="C531" s="56" t="s">
        <v>176</v>
      </c>
      <c r="D531" s="56" t="s">
        <v>177</v>
      </c>
      <c r="E531" s="466" t="s">
        <v>178</v>
      </c>
      <c r="F531" s="467"/>
      <c r="K531" s="28"/>
      <c r="L531" s="242" t="s">
        <v>150</v>
      </c>
      <c r="M531" s="243" t="s">
        <v>170</v>
      </c>
      <c r="N531" s="54"/>
      <c r="AO531" s="43"/>
      <c r="AP531" s="43"/>
    </row>
    <row r="532" spans="1:42" ht="14.65" customHeight="1">
      <c r="A532" t="s">
        <v>180</v>
      </c>
      <c r="B532" s="358">
        <f>AVERAGE(C512:N512)</f>
        <v>15167919.164999997</v>
      </c>
      <c r="C532" s="359">
        <f>AVERAGE(C512:AL512)</f>
        <v>5742085.0452777781</v>
      </c>
      <c r="D532" s="2" t="str">
        <f>IF(B532/B533&gt;1.5,"Bien",IF(B532/B533&gt;1.3,"Ok",IF(B532/B533&gt;1.2,"Revisar",IF(B532/B533&gt;1.15,"Muy Bajo","Alerta"))))</f>
        <v>Muy Bajo</v>
      </c>
      <c r="E532" s="57" t="s">
        <v>181</v>
      </c>
      <c r="K532" s="26"/>
      <c r="L532" s="244" t="s">
        <v>173</v>
      </c>
      <c r="M532" s="245" t="s">
        <v>170</v>
      </c>
      <c r="N532" s="58"/>
      <c r="O532" s="58"/>
      <c r="AO532" s="43"/>
      <c r="AP532" s="43"/>
    </row>
    <row r="533" spans="1:42">
      <c r="A533" t="s">
        <v>184</v>
      </c>
      <c r="B533" s="358">
        <f>AVERAGE(C513:N513)</f>
        <v>12961154.053333333</v>
      </c>
      <c r="C533" s="359">
        <f>AVERAGE(C513:AL513)</f>
        <v>4969005.8922222201</v>
      </c>
      <c r="D533" s="53" t="str">
        <f>IF(B533/B532&lt;0.6,"Bien",IF(B533/B532&lt;0.76,"Ok",IF(B533/B532&lt;0.8,"Revisar",IF(B533/B532&lt;0.89,"Riesgo","Alerta"))))</f>
        <v>Riesgo</v>
      </c>
      <c r="E533" s="57" t="s">
        <v>185</v>
      </c>
      <c r="L533" s="244" t="s">
        <v>179</v>
      </c>
      <c r="M533" s="245" t="s">
        <v>170</v>
      </c>
      <c r="N533" s="58"/>
      <c r="O533" s="58"/>
      <c r="AO533" s="43"/>
      <c r="AP533" s="43"/>
    </row>
    <row r="534" spans="1:42">
      <c r="A534" t="s">
        <v>187</v>
      </c>
      <c r="B534" s="358">
        <f>AVERAGE(C514:N514)</f>
        <v>1050682.8641666668</v>
      </c>
      <c r="C534" s="359">
        <f>AVERAGE(C514:AL514)</f>
        <v>494892.92388888891</v>
      </c>
      <c r="D534" s="53" t="str">
        <f>IF(B534/B573&gt;2,"Bien",IF(B534/B573&gt;1.5,"Ok",IF(B534/B573&gt;1.2,"Revisión","Alerta")))</f>
        <v>Bien</v>
      </c>
      <c r="E534" s="57" t="s">
        <v>188</v>
      </c>
      <c r="L534" s="244" t="s">
        <v>182</v>
      </c>
      <c r="M534" s="245" t="s">
        <v>183</v>
      </c>
      <c r="AO534" s="43"/>
      <c r="AP534" s="43"/>
    </row>
    <row r="535" spans="1:42" ht="14.65" thickBot="1">
      <c r="A535" t="s">
        <v>189</v>
      </c>
      <c r="B535" s="359">
        <f>B534*IF(B534&gt;=0, B583, 1+(1-B583))</f>
        <v>735478.00491666666</v>
      </c>
      <c r="C535" s="359">
        <f>C534*IF(C534&gt;=0, B583, 1+(1-B583))</f>
        <v>346425.04672222224</v>
      </c>
      <c r="D535" s="2" t="str">
        <f>IF(B535/B573&gt;2,"Bien",IF(B535/B573&gt;1.5,"Ok",IF(B535/B573&gt;1.2,"Revisión","Alerta")))</f>
        <v>Bien</v>
      </c>
      <c r="E535" s="57" t="s">
        <v>190</v>
      </c>
      <c r="L535" s="246" t="s">
        <v>186</v>
      </c>
      <c r="M535" s="247" t="s">
        <v>183</v>
      </c>
      <c r="AO535" s="43"/>
      <c r="AP535" s="43"/>
    </row>
    <row r="536" spans="1:42">
      <c r="A536" t="s">
        <v>191</v>
      </c>
      <c r="B536" s="358">
        <f>AVERAGE(C515:N515)</f>
        <v>2781077.2941666669</v>
      </c>
      <c r="C536" s="359">
        <f>AVERAGE(C515:AL515)</f>
        <v>942484.42722222232</v>
      </c>
      <c r="E536" s="9" t="s">
        <v>192</v>
      </c>
      <c r="M536" s="54"/>
      <c r="AO536" s="43"/>
      <c r="AP536" s="43"/>
    </row>
    <row r="537" spans="1:42">
      <c r="A537" t="s">
        <v>193</v>
      </c>
      <c r="B537" s="358">
        <f>AVERAGE(C516:N516)</f>
        <v>602081.82916666672</v>
      </c>
      <c r="C537" s="359">
        <f>AVERAGE(C516:AL516)</f>
        <v>294268.52138888894</v>
      </c>
      <c r="E537" s="9" t="s">
        <v>194</v>
      </c>
      <c r="M537" s="54"/>
      <c r="AO537" s="43"/>
      <c r="AP537" s="43"/>
    </row>
    <row r="538" spans="1:42">
      <c r="A538" t="s">
        <v>195</v>
      </c>
      <c r="B538" s="360">
        <f>+(B536/B532)*30</f>
        <v>5.5005777600344974</v>
      </c>
      <c r="C538" s="360">
        <f>+(C536/C532)*30</f>
        <v>4.9240881306554849</v>
      </c>
      <c r="D538" s="10" t="str">
        <f>+IF(B538&gt;B539,"Financia a Proveedores", "Proveedores la Financian")</f>
        <v>Financia a Proveedores</v>
      </c>
      <c r="E538" s="9" t="s">
        <v>196</v>
      </c>
      <c r="H538" s="1"/>
      <c r="AO538" s="43"/>
      <c r="AP538" s="43"/>
    </row>
    <row r="539" spans="1:42">
      <c r="A539" t="s">
        <v>197</v>
      </c>
      <c r="B539" s="360">
        <f>+(B537/B533)*30</f>
        <v>1.3935838429722796</v>
      </c>
      <c r="C539" s="360">
        <f>+(C537/C533)*30</f>
        <v>1.776624104126111</v>
      </c>
      <c r="D539" s="10" t="str">
        <f>+IF(B539&gt;B538,"Proveedores la Financian","Financia a Proveedores")</f>
        <v>Financia a Proveedores</v>
      </c>
      <c r="E539" s="9" t="s">
        <v>196</v>
      </c>
      <c r="AO539" s="43"/>
      <c r="AP539" s="43"/>
    </row>
    <row r="540" spans="1:42">
      <c r="A540" t="s">
        <v>198</v>
      </c>
      <c r="B540" s="208">
        <f>+(B537*4.5)/(B534*12)</f>
        <v>0.21488947201644384</v>
      </c>
      <c r="C540" s="208">
        <f>+(C537*4.5)/(C534*12)</f>
        <v>0.22297893179335249</v>
      </c>
      <c r="D540" s="59"/>
      <c r="E540" s="57" t="s">
        <v>346</v>
      </c>
      <c r="I540" s="9" t="s">
        <v>199</v>
      </c>
      <c r="AO540" s="43"/>
      <c r="AP540" s="43"/>
    </row>
    <row r="541" spans="1:42">
      <c r="A541" t="s">
        <v>200</v>
      </c>
      <c r="B541" t="s">
        <v>201</v>
      </c>
      <c r="C541" s="360"/>
      <c r="E541" s="9"/>
      <c r="AO541" s="43"/>
      <c r="AP541" s="43"/>
    </row>
    <row r="542" spans="1:42">
      <c r="A542" t="s">
        <v>202</v>
      </c>
      <c r="B542" s="60">
        <f>(B534/B532)</f>
        <v>6.9270072759295781E-2</v>
      </c>
      <c r="C542" s="60">
        <f>(C534/C532)</f>
        <v>8.6186972151497981E-2</v>
      </c>
      <c r="D542" s="2">
        <f>+IF(B542&gt;0.2,100,IF(B542&gt;0.1,80,IF(B542&gt;0,40,0)))</f>
        <v>40</v>
      </c>
      <c r="E542" s="57" t="s">
        <v>203</v>
      </c>
      <c r="H542" t="s">
        <v>357</v>
      </c>
      <c r="AO542" s="43"/>
      <c r="AP542" s="43"/>
    </row>
    <row r="543" spans="1:42">
      <c r="A543" t="s">
        <v>362</v>
      </c>
      <c r="B543" s="381">
        <f>_xlfn.STDEV.P(C514:N514)</f>
        <v>13486569.971728843</v>
      </c>
      <c r="C543" s="381">
        <f>_xlfn.STDEV.P(C514:AL514)</f>
        <v>7804905.8967592474</v>
      </c>
      <c r="E543" s="57" t="s">
        <v>204</v>
      </c>
      <c r="AO543" s="43"/>
      <c r="AP543" s="43"/>
    </row>
    <row r="544" spans="1:42">
      <c r="A544" t="s">
        <v>205</v>
      </c>
      <c r="B544" s="382">
        <f>ABS(B543/B534)</f>
        <v>12.836004499250601</v>
      </c>
      <c r="C544" s="366">
        <f>C543/C534</f>
        <v>15.770898147882125</v>
      </c>
      <c r="D544" s="57"/>
      <c r="E544" s="57" t="s">
        <v>347</v>
      </c>
      <c r="AO544" s="43"/>
      <c r="AP544" s="43"/>
    </row>
    <row r="545" spans="1:42">
      <c r="A545" t="s">
        <v>206</v>
      </c>
      <c r="B545" s="60">
        <f>+(B543/B532)</f>
        <v>0.88915096560173723</v>
      </c>
      <c r="C545" s="60">
        <f>+(C543/C532)</f>
        <v>1.3592459594756279</v>
      </c>
      <c r="D545" s="2" t="str">
        <f>+IF(B545&lt;20%,"Estables",IF(B545&lt;40%,"Normal",IF(B545&gt;40%,"Volatil")))</f>
        <v>Volatil</v>
      </c>
      <c r="E545" s="57" t="s">
        <v>207</v>
      </c>
      <c r="AO545" s="43"/>
      <c r="AP545" s="43"/>
    </row>
    <row r="546" spans="1:42">
      <c r="A546" t="s">
        <v>208</v>
      </c>
      <c r="B546" s="361">
        <f>COUNTIF(D512:O512,"&gt;0")</f>
        <v>12</v>
      </c>
      <c r="C546" s="362">
        <f>COUNTIF(D512:AM512,"&gt;0")</f>
        <v>35</v>
      </c>
      <c r="E546" s="57" t="s">
        <v>209</v>
      </c>
      <c r="AO546" s="43"/>
      <c r="AP546" s="43"/>
    </row>
    <row r="547" spans="1:42">
      <c r="A547" t="s">
        <v>210</v>
      </c>
      <c r="B547" s="363">
        <f>B546/12</f>
        <v>1</v>
      </c>
      <c r="C547" s="363">
        <f>C546/36</f>
        <v>0.97222222222222221</v>
      </c>
      <c r="D547" s="2" t="str">
        <f>+IF(B547&gt;90%,"Estable",IF(B547&gt;50%,"Intermitente",IF(B547&lt;50%,"Riesgoso")))</f>
        <v>Estable</v>
      </c>
      <c r="E547" s="57" t="s">
        <v>211</v>
      </c>
      <c r="AO547" s="43"/>
      <c r="AP547" s="43"/>
    </row>
    <row r="548" spans="1:42" s="203" customFormat="1">
      <c r="B548" s="204"/>
      <c r="C548" s="204"/>
      <c r="D548" s="205"/>
      <c r="E548" s="206"/>
      <c r="AO548" s="207"/>
      <c r="AP548" s="207"/>
    </row>
    <row r="549" spans="1:42">
      <c r="A549" t="s">
        <v>212</v>
      </c>
      <c r="B549" s="60">
        <f>AVERAGE(C512:H512)/AVERAGE(I512:N512)-1</f>
        <v>0.14533159780689364</v>
      </c>
      <c r="C549" s="60">
        <f>AVERAGE(C512:T512)/AVERAGE(U512:AL512)-1</f>
        <v>7.1446442236648231</v>
      </c>
      <c r="D549" s="2" t="str">
        <f>+IF(B549&gt;15%,"Bueno",IF(B549&gt;5%,"Estable",IF(B549&gt;1%,"Bajo",IF(B549&gt;-10%,"Alerta","Deterioro"))))</f>
        <v>Estable</v>
      </c>
      <c r="E549" s="9" t="s">
        <v>213</v>
      </c>
      <c r="AO549" s="43"/>
      <c r="AP549" s="43"/>
    </row>
    <row r="550" spans="1:42" ht="14.65" thickBot="1">
      <c r="AO550" s="43"/>
      <c r="AP550" s="43"/>
    </row>
    <row r="551" spans="1:42" ht="14.65" thickBot="1">
      <c r="A551" s="55" t="s">
        <v>214</v>
      </c>
      <c r="B551" s="61" t="s">
        <v>215</v>
      </c>
      <c r="C551" s="466" t="s">
        <v>178</v>
      </c>
      <c r="D551" s="467"/>
      <c r="AO551" s="43"/>
      <c r="AP551" s="43"/>
    </row>
    <row r="552" spans="1:42" ht="14.65" customHeight="1">
      <c r="A552" s="16" t="s">
        <v>216</v>
      </c>
      <c r="B552" s="62">
        <v>36</v>
      </c>
      <c r="C552" s="1" t="s">
        <v>217</v>
      </c>
      <c r="I552" s="459"/>
      <c r="J552" s="459"/>
      <c r="K552" s="459"/>
      <c r="L552" s="459"/>
      <c r="M552" s="459"/>
      <c r="AO552" s="43"/>
      <c r="AP552" s="43"/>
    </row>
    <row r="553" spans="1:42" ht="14.65" customHeight="1">
      <c r="A553" s="3" t="s">
        <v>218</v>
      </c>
      <c r="B553" s="25">
        <v>36</v>
      </c>
      <c r="C553" s="1" t="s">
        <v>219</v>
      </c>
      <c r="I553" s="459"/>
      <c r="J553" s="459"/>
      <c r="K553" s="459"/>
      <c r="L553" s="459"/>
      <c r="M553" s="459"/>
      <c r="AO553" s="1"/>
      <c r="AP553" s="1"/>
    </row>
    <row r="554" spans="1:42">
      <c r="A554" s="3" t="s">
        <v>220</v>
      </c>
      <c r="B554" s="25">
        <v>0</v>
      </c>
      <c r="C554" s="1" t="s">
        <v>221</v>
      </c>
      <c r="I554" s="459"/>
      <c r="J554" s="459"/>
      <c r="K554" s="459"/>
      <c r="L554" s="459"/>
      <c r="M554" s="459"/>
      <c r="AO554" s="41"/>
      <c r="AP554" s="41"/>
    </row>
    <row r="555" spans="1:42" ht="14.65" customHeight="1">
      <c r="A555" s="3" t="s">
        <v>222</v>
      </c>
      <c r="B555" s="4" t="str">
        <f>IF(B554=1,"RECHAZAR","NO")</f>
        <v>NO</v>
      </c>
      <c r="C555" s="1" t="s">
        <v>223</v>
      </c>
      <c r="I555" s="459"/>
      <c r="J555" s="459"/>
      <c r="K555" s="459"/>
      <c r="L555" s="459"/>
      <c r="M555" s="459"/>
      <c r="AO555" s="63"/>
      <c r="AP555" s="64"/>
    </row>
    <row r="556" spans="1:42" ht="14.65" customHeight="1">
      <c r="A556" s="3" t="s">
        <v>224</v>
      </c>
      <c r="B556" s="65">
        <v>2730</v>
      </c>
      <c r="C556" s="1" t="s">
        <v>225</v>
      </c>
      <c r="I556" s="459"/>
      <c r="J556" s="459"/>
      <c r="K556" s="459"/>
      <c r="L556" s="459"/>
      <c r="M556" s="459"/>
      <c r="AO556" s="63"/>
      <c r="AP556" s="63"/>
    </row>
    <row r="557" spans="1:42">
      <c r="A557" s="3" t="s">
        <v>226</v>
      </c>
      <c r="B557" s="323" t="str">
        <f>IF(B556&gt;1500,"ALERTA CONCENTRACION","OK")</f>
        <v>ALERTA CONCENTRACION</v>
      </c>
      <c r="C557" s="1" t="s">
        <v>227</v>
      </c>
      <c r="I557" s="459"/>
      <c r="J557" s="459"/>
      <c r="K557" s="459"/>
      <c r="L557" s="459"/>
      <c r="M557" s="459"/>
      <c r="AO557" s="63"/>
      <c r="AP557" s="63"/>
    </row>
    <row r="558" spans="1:42" ht="14.65" customHeight="1">
      <c r="A558" s="3" t="s">
        <v>228</v>
      </c>
      <c r="B558" s="66">
        <v>0.47610000000000002</v>
      </c>
      <c r="C558" s="1" t="s">
        <v>229</v>
      </c>
      <c r="I558" s="459"/>
      <c r="J558" s="459"/>
      <c r="K558" s="459"/>
      <c r="L558" s="459"/>
      <c r="M558" s="459"/>
      <c r="AP558" s="63"/>
    </row>
    <row r="559" spans="1:42" ht="14.65" customHeight="1">
      <c r="A559" s="3" t="s">
        <v>230</v>
      </c>
      <c r="B559" s="67">
        <v>0</v>
      </c>
      <c r="C559" s="1" t="s">
        <v>231</v>
      </c>
      <c r="I559" s="459"/>
      <c r="J559" s="459"/>
      <c r="K559" s="459"/>
      <c r="L559" s="459"/>
      <c r="M559" s="459"/>
    </row>
    <row r="560" spans="1:42" ht="14.65" customHeight="1">
      <c r="A560" s="3" t="s">
        <v>232</v>
      </c>
      <c r="B560" s="67">
        <v>7.0000000000000007E-2</v>
      </c>
      <c r="C560" s="1" t="s">
        <v>233</v>
      </c>
      <c r="I560" s="459"/>
      <c r="J560" s="459"/>
      <c r="K560" s="459"/>
      <c r="L560" s="459"/>
      <c r="M560" s="459"/>
    </row>
    <row r="561" spans="1:13" ht="14.65" thickBot="1">
      <c r="A561" s="3" t="s">
        <v>234</v>
      </c>
      <c r="B561" s="68" t="str">
        <f>IF(B560&gt;0.2,"ALERTA","OK")</f>
        <v>OK</v>
      </c>
      <c r="C561" s="1" t="s">
        <v>177</v>
      </c>
      <c r="I561" s="459"/>
      <c r="J561" s="459"/>
      <c r="K561" s="459"/>
      <c r="L561" s="459"/>
      <c r="M561" s="459"/>
    </row>
    <row r="562" spans="1:13" ht="14.65" customHeight="1" thickBot="1">
      <c r="A562" s="3" t="s">
        <v>235</v>
      </c>
      <c r="B562" s="69">
        <v>244</v>
      </c>
      <c r="C562" s="1" t="s">
        <v>348</v>
      </c>
      <c r="F562" s="460" t="s">
        <v>349</v>
      </c>
      <c r="G562" s="461"/>
      <c r="H562" s="461"/>
      <c r="I562" s="461"/>
      <c r="J562" s="462"/>
    </row>
    <row r="563" spans="1:13">
      <c r="A563" s="3" t="s">
        <v>236</v>
      </c>
      <c r="B563" s="68" t="str">
        <f>IF(B562&gt;175,"NO",IF(B562="","Sin Buró","RECHAZAR"))</f>
        <v>NO</v>
      </c>
      <c r="C563" s="1" t="s">
        <v>177</v>
      </c>
      <c r="I563" s="459"/>
      <c r="J563" s="459"/>
      <c r="K563" s="459"/>
      <c r="L563" s="459"/>
      <c r="M563" s="459"/>
    </row>
    <row r="564" spans="1:13" ht="14.65" thickBot="1">
      <c r="A564" s="6" t="s">
        <v>237</v>
      </c>
      <c r="B564" s="380" t="str">
        <f>IF(AND(B560&gt;0.1, B549&gt;0.5, B556&gt;3500),"Fachada RECHAZAR","NO FACHADA")</f>
        <v>NO FACHADA</v>
      </c>
      <c r="C564" s="1" t="s">
        <v>238</v>
      </c>
      <c r="I564" s="459"/>
      <c r="J564" s="459"/>
      <c r="K564" s="459"/>
      <c r="L564" s="459"/>
      <c r="M564" s="459"/>
    </row>
    <row r="565" spans="1:13" ht="14.65" thickBot="1">
      <c r="A565" s="3" t="s">
        <v>239</v>
      </c>
      <c r="B565" s="69">
        <v>678</v>
      </c>
    </row>
    <row r="566" spans="1:13" ht="14.65" thickBot="1">
      <c r="A566" s="468" t="s">
        <v>240</v>
      </c>
      <c r="B566" s="469"/>
      <c r="C566" s="56" t="s">
        <v>177</v>
      </c>
      <c r="D566" s="466" t="s">
        <v>178</v>
      </c>
      <c r="E566" s="467"/>
    </row>
    <row r="567" spans="1:13">
      <c r="A567" s="16" t="s">
        <v>241</v>
      </c>
      <c r="B567" s="70">
        <f>382900+10456.91</f>
        <v>393356.91</v>
      </c>
      <c r="D567" s="1" t="s">
        <v>242</v>
      </c>
      <c r="I567" s="459"/>
      <c r="J567" s="459"/>
      <c r="K567" s="459"/>
      <c r="L567" s="459"/>
      <c r="M567" s="459"/>
    </row>
    <row r="568" spans="1:13">
      <c r="A568" s="3" t="s">
        <v>243</v>
      </c>
      <c r="B568" s="71">
        <v>0</v>
      </c>
      <c r="D568" s="1" t="s">
        <v>244</v>
      </c>
      <c r="I568" s="459"/>
      <c r="J568" s="459"/>
      <c r="K568" s="459"/>
      <c r="L568" s="459"/>
      <c r="M568" s="459"/>
    </row>
    <row r="569" spans="1:13">
      <c r="A569" s="3" t="s">
        <v>245</v>
      </c>
      <c r="B569" s="71">
        <v>99049</v>
      </c>
      <c r="D569" s="1" t="s">
        <v>245</v>
      </c>
      <c r="I569" s="459"/>
      <c r="J569" s="459"/>
      <c r="K569" s="459"/>
      <c r="L569" s="459"/>
      <c r="M569" s="459"/>
    </row>
    <row r="570" spans="1:13">
      <c r="A570" s="3" t="s">
        <v>246</v>
      </c>
      <c r="B570" s="251">
        <f>B567-B568</f>
        <v>393356.91</v>
      </c>
      <c r="D570" s="1" t="s">
        <v>247</v>
      </c>
      <c r="I570" s="459"/>
      <c r="J570" s="459"/>
      <c r="K570" s="459"/>
      <c r="L570" s="459"/>
      <c r="M570" s="459"/>
    </row>
    <row r="571" spans="1:13">
      <c r="A571" s="3" t="s">
        <v>248</v>
      </c>
      <c r="B571" s="25">
        <v>36</v>
      </c>
      <c r="I571" s="459"/>
      <c r="J571" s="459"/>
      <c r="K571" s="459"/>
      <c r="L571" s="459"/>
      <c r="M571" s="459"/>
    </row>
    <row r="572" spans="1:13">
      <c r="A572" s="3" t="s">
        <v>83</v>
      </c>
      <c r="B572" s="72">
        <f>+IF(B571&lt;24,30.2%,IF(B571&lt;36,26%,IF(B571&lt;48,24.55%,IF(B571&lt;60,23.82%,"0%"))))</f>
        <v>0.2455</v>
      </c>
      <c r="D572" s="73"/>
      <c r="I572" s="459"/>
      <c r="J572" s="459"/>
      <c r="K572" s="459"/>
      <c r="L572" s="459"/>
      <c r="M572" s="459"/>
    </row>
    <row r="573" spans="1:13">
      <c r="A573" s="3" t="s">
        <v>249</v>
      </c>
      <c r="B573" s="216">
        <f>+PMT(B572/12,B571,-B570,B569)</f>
        <v>13658.077588771035</v>
      </c>
      <c r="C573" s="2" t="str">
        <f>IF(B574/B573&gt;2,"Bien",IF(B574/B573&gt;1.5,"Ok",IF(B574/B573&gt;1.2,"Alerta","Le falta Flujo")))</f>
        <v>Bien</v>
      </c>
      <c r="D573" s="1" t="s">
        <v>250</v>
      </c>
      <c r="F573" s="29"/>
      <c r="I573" s="459"/>
      <c r="J573" s="459"/>
      <c r="K573" s="459"/>
      <c r="L573" s="459"/>
      <c r="M573" s="459"/>
    </row>
    <row r="574" spans="1:13">
      <c r="A574" s="3" t="s">
        <v>189</v>
      </c>
      <c r="B574" s="216">
        <f>B535</f>
        <v>735478.00491666666</v>
      </c>
      <c r="C574" s="2" t="str">
        <f>IF(B535/B573&gt;2,"Buen Flujo",IF(B535/B573&gt;1.5,"Ok Flujo",IF(B535/B573&gt;1.1,"Flujo muy Justo","Flujo Insuficiente")))</f>
        <v>Buen Flujo</v>
      </c>
      <c r="D574" s="1" t="s">
        <v>251</v>
      </c>
      <c r="I574" s="459"/>
      <c r="J574" s="459"/>
      <c r="K574" s="459"/>
      <c r="L574" s="459"/>
      <c r="M574" s="459"/>
    </row>
    <row r="575" spans="1:13">
      <c r="A575" s="3" t="s">
        <v>252</v>
      </c>
      <c r="B575" s="364">
        <f>+(B574/B573)</f>
        <v>53.849306400290082</v>
      </c>
      <c r="C575" s="2" t="str">
        <f>+IF(B575&gt;1.5,"Comodo",IF(B575&gt;1.1,"Aceptable",IF(B575&lt;1.1,"Rechazo")))</f>
        <v>Comodo</v>
      </c>
      <c r="D575" t="s">
        <v>358</v>
      </c>
      <c r="I575" s="373"/>
      <c r="J575" s="373"/>
      <c r="K575" s="373"/>
      <c r="L575" s="373"/>
      <c r="M575" s="373"/>
    </row>
    <row r="576" spans="1:13">
      <c r="A576" s="3" t="s">
        <v>253</v>
      </c>
      <c r="B576" s="289">
        <f>IF(B571&lt;=24,$B$584,IF(B571&lt;=36,$B$585,IF(B571&lt;=48,$B$586,$B$587)))</f>
        <v>2.75</v>
      </c>
      <c r="D576" t="s">
        <v>254</v>
      </c>
      <c r="I576" s="459"/>
      <c r="J576" s="459"/>
      <c r="K576" s="459"/>
      <c r="L576" s="459"/>
      <c r="M576" s="459"/>
    </row>
    <row r="577" spans="1:38">
      <c r="A577" s="3" t="s">
        <v>255</v>
      </c>
      <c r="B577" s="365"/>
      <c r="C577" s="4" t="str">
        <f>IF(B575&gt;B576,"Suficiente",IF(B575&lt;1,"Negativo","AVAL"))</f>
        <v>Suficiente</v>
      </c>
      <c r="D577" t="s">
        <v>256</v>
      </c>
      <c r="I577" s="459"/>
      <c r="J577" s="459"/>
      <c r="K577" s="459"/>
      <c r="L577" s="459"/>
      <c r="M577" s="459"/>
    </row>
    <row r="578" spans="1:38">
      <c r="A578" s="3" t="s">
        <v>257</v>
      </c>
      <c r="B578" s="72">
        <f>+B567/SUM(C512:N512)</f>
        <v>2.1611232327529355E-3</v>
      </c>
      <c r="C578" s="2" t="str">
        <f>IF(B578&lt;0.1,"Excelente",IF(B578&lt;0.2,"Bien",IF(B578&lt;0.3,"Ok",IF(B578&lt;0.6,"Revisar",IF(B578&lt;0.9,"Alerta","Sobrepasado")))))</f>
        <v>Excelente</v>
      </c>
      <c r="D578" t="s">
        <v>356</v>
      </c>
      <c r="I578" s="372"/>
      <c r="J578" s="372"/>
      <c r="K578" s="372"/>
      <c r="L578" s="372"/>
      <c r="M578" s="372"/>
    </row>
    <row r="579" spans="1:38">
      <c r="A579" s="3" t="s">
        <v>258</v>
      </c>
      <c r="B579" s="216">
        <f>B574/B576</f>
        <v>267446.54724242422</v>
      </c>
      <c r="C579" s="74" t="str">
        <f>IF(B579/B573&gt;4,"Ok",IF(B579/B573&gt;2,"OK",IF((B579/B573)&gt;1.2,"Renta con Riesgo",IF(B579/B573&lt;1.1,"No Otorgar"))))</f>
        <v>Ok</v>
      </c>
      <c r="D579" t="s">
        <v>259</v>
      </c>
      <c r="G579" s="26">
        <f>+B579/B573</f>
        <v>19.581565963741848</v>
      </c>
      <c r="H579" s="22"/>
      <c r="I579" s="459"/>
      <c r="J579" s="459"/>
      <c r="K579" s="459"/>
      <c r="L579" s="459"/>
      <c r="M579" s="459"/>
    </row>
    <row r="580" spans="1:38" ht="14.65" thickBot="1">
      <c r="A580" s="6" t="s">
        <v>260</v>
      </c>
      <c r="B580" s="367">
        <f>IF(B574&lt;0, 0, PV(B572/12,B571,-B579))</f>
        <v>6766993.0855303034</v>
      </c>
      <c r="C580" s="2" t="str">
        <f>+IF(B580/B567&gt;1,"Otorgar",IF(B580/B567&gt;0.75,"Revision","No Otorgar"))</f>
        <v>Otorgar</v>
      </c>
      <c r="D580" t="s">
        <v>261</v>
      </c>
      <c r="G580" s="26"/>
      <c r="H580" s="26"/>
      <c r="I580" s="459"/>
      <c r="J580" s="459"/>
      <c r="K580" s="459"/>
      <c r="L580" s="459"/>
      <c r="M580" s="459"/>
    </row>
    <row r="581" spans="1:38" ht="14.65" thickBot="1"/>
    <row r="582" spans="1:38" ht="14.65" thickBot="1">
      <c r="A582" s="47" t="s">
        <v>262</v>
      </c>
      <c r="B582" s="48" t="s">
        <v>263</v>
      </c>
    </row>
    <row r="583" spans="1:38">
      <c r="A583" s="24" t="s">
        <v>264</v>
      </c>
      <c r="B583" s="25">
        <v>0.7</v>
      </c>
      <c r="M583" s="472" t="s">
        <v>265</v>
      </c>
    </row>
    <row r="584" spans="1:38">
      <c r="A584" s="24" t="s">
        <v>80</v>
      </c>
      <c r="B584" s="25">
        <v>3</v>
      </c>
      <c r="D584" t="s">
        <v>254</v>
      </c>
      <c r="M584" s="473"/>
    </row>
    <row r="585" spans="1:38">
      <c r="A585" s="24" t="s">
        <v>85</v>
      </c>
      <c r="B585" s="25">
        <v>2.75</v>
      </c>
      <c r="D585" t="s">
        <v>254</v>
      </c>
      <c r="M585" s="473"/>
    </row>
    <row r="586" spans="1:38">
      <c r="A586" s="24" t="s">
        <v>87</v>
      </c>
      <c r="B586" s="25">
        <v>2.5</v>
      </c>
      <c r="D586" t="s">
        <v>254</v>
      </c>
      <c r="M586" s="473"/>
    </row>
    <row r="587" spans="1:38">
      <c r="A587" s="24" t="s">
        <v>88</v>
      </c>
      <c r="B587" s="25">
        <v>2.25</v>
      </c>
      <c r="D587" t="s">
        <v>254</v>
      </c>
      <c r="M587" s="473"/>
    </row>
    <row r="588" spans="1:38">
      <c r="A588" s="24" t="s">
        <v>266</v>
      </c>
      <c r="B588" s="25">
        <v>6</v>
      </c>
      <c r="D588" t="s">
        <v>267</v>
      </c>
      <c r="M588" s="473"/>
    </row>
    <row r="589" spans="1:38">
      <c r="A589" s="24" t="s">
        <v>268</v>
      </c>
      <c r="B589" s="25">
        <v>-10</v>
      </c>
      <c r="D589" t="s">
        <v>269</v>
      </c>
      <c r="M589" s="473"/>
    </row>
    <row r="590" spans="1:38" ht="14.65" thickBot="1">
      <c r="A590" s="50" t="s">
        <v>270</v>
      </c>
      <c r="B590" s="75">
        <v>-30</v>
      </c>
      <c r="D590" t="s">
        <v>271</v>
      </c>
      <c r="M590" s="473"/>
    </row>
    <row r="591" spans="1:38" ht="14.65" thickBot="1">
      <c r="M591" s="474"/>
    </row>
    <row r="592" spans="1:38" ht="27" thickBot="1">
      <c r="A592" s="391" t="s">
        <v>399</v>
      </c>
      <c r="B592" s="386"/>
      <c r="C592" s="386"/>
      <c r="D592" s="387"/>
      <c r="E592" s="388"/>
      <c r="F592" s="388"/>
      <c r="G592" s="388"/>
      <c r="H592" s="389"/>
      <c r="I592" s="386"/>
      <c r="J592" s="386"/>
      <c r="K592" s="386"/>
      <c r="L592" s="386"/>
      <c r="M592" s="386"/>
      <c r="N592" s="386"/>
      <c r="O592" s="386"/>
      <c r="P592" s="386"/>
      <c r="Q592" s="386"/>
      <c r="R592" s="386"/>
      <c r="S592" s="386"/>
      <c r="T592" s="386"/>
      <c r="U592" s="386"/>
      <c r="V592" s="386"/>
      <c r="W592" s="386"/>
      <c r="X592" s="386"/>
      <c r="Y592" s="386"/>
      <c r="Z592" s="386"/>
      <c r="AA592" s="386"/>
      <c r="AB592" s="386"/>
      <c r="AC592" s="386"/>
      <c r="AD592" s="386"/>
      <c r="AE592" s="386"/>
      <c r="AF592" s="386"/>
      <c r="AG592" s="386"/>
      <c r="AH592" s="386"/>
      <c r="AI592" s="386"/>
      <c r="AJ592" s="386"/>
      <c r="AK592" s="386"/>
      <c r="AL592" s="390"/>
    </row>
    <row r="593" spans="1:79" ht="14.65" thickBot="1">
      <c r="A593" s="30" t="s">
        <v>131</v>
      </c>
      <c r="C593" s="31">
        <v>46082</v>
      </c>
      <c r="D593" s="31">
        <v>46054</v>
      </c>
      <c r="E593" s="31">
        <f>+D593-1</f>
        <v>46053</v>
      </c>
      <c r="F593" s="31">
        <v>45992</v>
      </c>
      <c r="G593" s="31">
        <f t="shared" ref="G593" si="160">+F593-1</f>
        <v>45991</v>
      </c>
      <c r="H593" s="31">
        <v>45931</v>
      </c>
      <c r="I593" s="31">
        <v>45901</v>
      </c>
      <c r="J593" s="31">
        <v>45870</v>
      </c>
      <c r="K593" s="31">
        <v>45839</v>
      </c>
      <c r="L593" s="31">
        <v>46023</v>
      </c>
      <c r="M593" s="31">
        <v>45992</v>
      </c>
      <c r="N593" s="31">
        <f t="shared" ref="N593" si="161">+M593-1</f>
        <v>45991</v>
      </c>
      <c r="O593" s="31">
        <v>45993</v>
      </c>
      <c r="P593" s="31">
        <f t="shared" ref="P593" si="162">+O593-1</f>
        <v>45992</v>
      </c>
      <c r="Q593" s="31">
        <v>45809</v>
      </c>
      <c r="R593" s="31">
        <v>45778</v>
      </c>
      <c r="S593" s="31">
        <v>45748</v>
      </c>
      <c r="T593" s="31">
        <v>45717</v>
      </c>
      <c r="U593" s="31">
        <v>45962</v>
      </c>
      <c r="V593" s="31">
        <v>45931</v>
      </c>
      <c r="W593" s="31">
        <f t="shared" ref="W593" si="163">+V593-1</f>
        <v>45930</v>
      </c>
      <c r="X593" s="31">
        <v>45994</v>
      </c>
      <c r="Y593" s="31">
        <f t="shared" ref="Y593" si="164">+X593-1</f>
        <v>45993</v>
      </c>
      <c r="Z593" s="31">
        <v>45689</v>
      </c>
      <c r="AA593" s="31">
        <v>45658</v>
      </c>
      <c r="AB593" s="31">
        <v>45627</v>
      </c>
      <c r="AC593" s="31">
        <v>45597</v>
      </c>
      <c r="AD593" s="31">
        <v>45901</v>
      </c>
      <c r="AE593" s="31">
        <v>45870</v>
      </c>
      <c r="AF593" s="31">
        <f t="shared" ref="AF593" si="165">+AE593-1</f>
        <v>45869</v>
      </c>
      <c r="AG593" s="31">
        <v>45995</v>
      </c>
      <c r="AH593" s="31">
        <f t="shared" ref="AH593" si="166">+AG593-1</f>
        <v>45994</v>
      </c>
      <c r="AI593" s="31">
        <f t="shared" ref="AI593" si="167">+AH593-1</f>
        <v>45993</v>
      </c>
      <c r="AJ593" s="31">
        <f t="shared" ref="AJ593" si="168">+AI593-1</f>
        <v>45992</v>
      </c>
      <c r="AK593" s="31">
        <f t="shared" ref="AK593" si="169">+AJ593-1</f>
        <v>45991</v>
      </c>
      <c r="AL593" s="31">
        <f t="shared" ref="AL593" si="170">+AK593-1</f>
        <v>45990</v>
      </c>
    </row>
    <row r="594" spans="1:79" ht="14.65" thickBot="1">
      <c r="A594" s="32" t="s">
        <v>132</v>
      </c>
      <c r="C594" s="33">
        <v>1</v>
      </c>
      <c r="D594" s="34">
        <v>2</v>
      </c>
      <c r="E594" s="34">
        <v>3</v>
      </c>
      <c r="F594" s="34">
        <v>4</v>
      </c>
      <c r="G594" s="34">
        <v>5</v>
      </c>
      <c r="H594" s="34">
        <v>6</v>
      </c>
      <c r="I594" s="34">
        <v>7</v>
      </c>
      <c r="J594" s="34">
        <v>8</v>
      </c>
      <c r="K594" s="34">
        <v>9</v>
      </c>
      <c r="L594" s="34">
        <v>10</v>
      </c>
      <c r="M594" s="34">
        <v>11</v>
      </c>
      <c r="N594" s="34">
        <v>12</v>
      </c>
      <c r="O594" s="34">
        <v>13</v>
      </c>
      <c r="P594" s="34">
        <v>14</v>
      </c>
      <c r="Q594" s="34">
        <v>15</v>
      </c>
      <c r="R594" s="34">
        <v>16</v>
      </c>
      <c r="S594" s="34">
        <v>17</v>
      </c>
      <c r="T594" s="34">
        <v>18</v>
      </c>
      <c r="U594" s="34">
        <v>19</v>
      </c>
      <c r="V594" s="34">
        <v>20</v>
      </c>
      <c r="W594" s="34">
        <v>21</v>
      </c>
      <c r="X594" s="34">
        <v>22</v>
      </c>
      <c r="Y594" s="34">
        <v>23</v>
      </c>
      <c r="Z594" s="34">
        <v>24</v>
      </c>
      <c r="AA594" s="34">
        <v>25</v>
      </c>
      <c r="AB594" s="34">
        <v>26</v>
      </c>
      <c r="AC594" s="34">
        <v>27</v>
      </c>
      <c r="AD594" s="34">
        <v>28</v>
      </c>
      <c r="AE594" s="34">
        <v>29</v>
      </c>
      <c r="AF594" s="34">
        <v>30</v>
      </c>
      <c r="AG594" s="34">
        <v>31</v>
      </c>
      <c r="AH594" s="34">
        <v>32</v>
      </c>
      <c r="AI594" s="34">
        <v>33</v>
      </c>
      <c r="AJ594" s="34">
        <v>34</v>
      </c>
      <c r="AK594" s="34">
        <v>35</v>
      </c>
      <c r="AL594" s="35">
        <v>36</v>
      </c>
      <c r="AM594" s="34">
        <v>37</v>
      </c>
    </row>
    <row r="595" spans="1:79">
      <c r="A595" s="36" t="s">
        <v>133</v>
      </c>
      <c r="B595" s="456" t="s">
        <v>134</v>
      </c>
      <c r="C595" s="37">
        <v>4167826.31</v>
      </c>
      <c r="D595" s="37">
        <v>3833859.03</v>
      </c>
      <c r="E595" s="37">
        <v>3982345.8</v>
      </c>
      <c r="F595" s="37">
        <v>2957072.16</v>
      </c>
      <c r="G595" s="37">
        <v>3786490.58</v>
      </c>
      <c r="H595" s="37">
        <v>2405000.7400000002</v>
      </c>
      <c r="I595" s="37">
        <v>2882681.13</v>
      </c>
      <c r="J595" s="37">
        <v>3302548.67</v>
      </c>
      <c r="K595" s="37">
        <v>3050136.75</v>
      </c>
      <c r="L595" s="37">
        <v>3273737.04</v>
      </c>
      <c r="M595" s="37">
        <v>3126562.47</v>
      </c>
      <c r="N595" s="37">
        <v>3121253.5</v>
      </c>
      <c r="O595" s="37">
        <v>2668287.42</v>
      </c>
      <c r="P595" s="37">
        <v>3001996.24</v>
      </c>
      <c r="Q595" s="37">
        <v>3116986.67</v>
      </c>
      <c r="R595" s="37">
        <v>2637319.67</v>
      </c>
      <c r="S595" s="37">
        <v>3197353.83</v>
      </c>
      <c r="T595" s="37">
        <v>2550259.7799999998</v>
      </c>
      <c r="U595" s="37">
        <v>2607730.2000000002</v>
      </c>
      <c r="V595" s="37">
        <v>3077747.94</v>
      </c>
      <c r="W595" s="37">
        <v>3039318.17</v>
      </c>
      <c r="X595" s="37">
        <v>2603657.35</v>
      </c>
      <c r="Y595" s="37">
        <v>3264793.44</v>
      </c>
      <c r="Z595" s="37">
        <v>2864550.8</v>
      </c>
      <c r="AA595" s="37">
        <v>2949589.02</v>
      </c>
      <c r="AB595" s="37">
        <v>3265593.29</v>
      </c>
      <c r="AC595" s="37">
        <v>2769570.77</v>
      </c>
      <c r="AD595" s="37">
        <v>2253978.83</v>
      </c>
      <c r="AE595" s="37">
        <v>3647571.27</v>
      </c>
      <c r="AF595" s="37">
        <v>1719133.16</v>
      </c>
      <c r="AG595" s="37">
        <v>2172587.33</v>
      </c>
      <c r="AH595" s="37">
        <v>2538147.0099999998</v>
      </c>
      <c r="AI595" s="37">
        <v>2209090.17</v>
      </c>
      <c r="AJ595" s="37">
        <v>2299851.7400000002</v>
      </c>
      <c r="AK595" s="37">
        <v>2722643.78</v>
      </c>
      <c r="AL595" s="37">
        <v>2727097.95</v>
      </c>
      <c r="AM595" s="38" t="e">
        <f>+#REF!</f>
        <v>#REF!</v>
      </c>
    </row>
    <row r="596" spans="1:79">
      <c r="A596" s="36" t="s">
        <v>135</v>
      </c>
      <c r="B596" s="457"/>
      <c r="C596" s="39">
        <v>4602116.93</v>
      </c>
      <c r="D596" s="39">
        <v>3428770.21</v>
      </c>
      <c r="E596" s="39">
        <v>3793846.91</v>
      </c>
      <c r="F596" s="39">
        <v>2473862.1800000002</v>
      </c>
      <c r="G596" s="39">
        <v>3558111.85</v>
      </c>
      <c r="H596" s="39">
        <v>3003649.56</v>
      </c>
      <c r="I596" s="39">
        <v>3257843.72</v>
      </c>
      <c r="J596" s="39">
        <v>3599811.66</v>
      </c>
      <c r="K596" s="39">
        <v>3639661.5</v>
      </c>
      <c r="L596" s="39">
        <v>3296470.14</v>
      </c>
      <c r="M596" s="39">
        <v>6220130.8399999999</v>
      </c>
      <c r="N596" s="39">
        <v>2992426.61</v>
      </c>
      <c r="O596" s="39">
        <v>2936941.72</v>
      </c>
      <c r="P596" s="39">
        <v>3418363.56</v>
      </c>
      <c r="Q596" s="39">
        <v>3584278.45</v>
      </c>
      <c r="R596" s="39">
        <v>2458376.0499999998</v>
      </c>
      <c r="S596" s="39">
        <v>3006774.38</v>
      </c>
      <c r="T596" s="39">
        <v>3054897.35</v>
      </c>
      <c r="U596" s="39">
        <v>2860327.05</v>
      </c>
      <c r="V596" s="39">
        <v>2755684.85</v>
      </c>
      <c r="W596" s="39">
        <v>2527362.21</v>
      </c>
      <c r="X596" s="39">
        <v>2806296.67</v>
      </c>
      <c r="Y596" s="39">
        <v>2913531.26</v>
      </c>
      <c r="Z596" s="39">
        <v>2866364.68</v>
      </c>
      <c r="AA596" s="39">
        <v>3129474.78</v>
      </c>
      <c r="AB596" s="39">
        <v>2384634</v>
      </c>
      <c r="AC596" s="39">
        <v>3086029.26</v>
      </c>
      <c r="AD596" s="39">
        <v>2152452.37</v>
      </c>
      <c r="AE596" s="39">
        <v>2974122.64</v>
      </c>
      <c r="AF596" s="39">
        <v>3501129.18</v>
      </c>
      <c r="AG596" s="39">
        <v>2089570.6</v>
      </c>
      <c r="AH596" s="39">
        <v>2665088.5099999998</v>
      </c>
      <c r="AI596" s="39">
        <v>2077069.99</v>
      </c>
      <c r="AJ596" s="39">
        <v>2323135.5</v>
      </c>
      <c r="AK596" s="39">
        <v>2366874.94</v>
      </c>
      <c r="AL596" s="39">
        <v>2834559.56</v>
      </c>
      <c r="AM596" s="40" t="e">
        <f>+#REF!</f>
        <v>#REF!</v>
      </c>
      <c r="AO596" s="41"/>
      <c r="AS596" s="42"/>
      <c r="AT596" s="42"/>
      <c r="AU596" s="42"/>
    </row>
    <row r="597" spans="1:79">
      <c r="A597" s="36" t="s">
        <v>136</v>
      </c>
      <c r="B597" s="457"/>
      <c r="C597" s="39">
        <v>-1476768.25</v>
      </c>
      <c r="D597" s="39">
        <v>285058.75</v>
      </c>
      <c r="E597" s="39">
        <v>-244950.25</v>
      </c>
      <c r="F597" s="39">
        <v>54237.25</v>
      </c>
      <c r="G597" s="39">
        <v>-650788.25</v>
      </c>
      <c r="H597" s="39">
        <v>1042056.25</v>
      </c>
      <c r="I597" s="39">
        <v>155265</v>
      </c>
      <c r="J597" s="39">
        <v>-445172.25</v>
      </c>
      <c r="K597" s="39">
        <v>158076.75</v>
      </c>
      <c r="L597" s="39">
        <v>749124.5</v>
      </c>
      <c r="M597" s="39">
        <v>-2681986.75</v>
      </c>
      <c r="N597" s="39">
        <v>303818.75</v>
      </c>
      <c r="O597" s="39">
        <v>-236305</v>
      </c>
      <c r="P597" s="39">
        <v>-54669.75</v>
      </c>
      <c r="Q597" s="39">
        <v>-253210.25</v>
      </c>
      <c r="R597" s="39">
        <v>248503.5</v>
      </c>
      <c r="S597" s="39">
        <v>714248.75</v>
      </c>
      <c r="T597" s="39">
        <v>681509</v>
      </c>
      <c r="U597" s="39">
        <v>512128.5</v>
      </c>
      <c r="V597" s="39">
        <v>812379.5</v>
      </c>
      <c r="W597" s="39">
        <v>1031689.25</v>
      </c>
      <c r="X597" s="39">
        <v>496586.75</v>
      </c>
      <c r="Y597" s="39">
        <v>99682.5</v>
      </c>
      <c r="Z597" s="39">
        <v>-61484.25</v>
      </c>
      <c r="AA597" s="39">
        <v>71311</v>
      </c>
      <c r="AB597" s="39">
        <v>39548.75</v>
      </c>
      <c r="AC597" s="39">
        <v>-1102435.75</v>
      </c>
      <c r="AD597" s="39">
        <v>-358145.88</v>
      </c>
      <c r="AE597" s="39">
        <v>-1159906.25</v>
      </c>
      <c r="AF597" s="39">
        <v>-1008313.5</v>
      </c>
      <c r="AG597" s="39">
        <v>353777</v>
      </c>
      <c r="AH597" s="39">
        <v>69345.5</v>
      </c>
      <c r="AI597" s="39">
        <v>-152116.88</v>
      </c>
      <c r="AJ597" s="39">
        <v>550518.25</v>
      </c>
      <c r="AK597" s="39">
        <v>-34152.5</v>
      </c>
      <c r="AL597" s="39">
        <v>717284.75</v>
      </c>
      <c r="AM597" s="40" t="e">
        <f>+#REF!</f>
        <v>#REF!</v>
      </c>
      <c r="AO597" s="42"/>
      <c r="AP597" s="41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</row>
    <row r="598" spans="1:79">
      <c r="A598" s="36" t="s">
        <v>137</v>
      </c>
      <c r="B598" s="457"/>
      <c r="C598" s="39">
        <v>4156319.4</v>
      </c>
      <c r="D598" s="39">
        <v>2288221.9900000002</v>
      </c>
      <c r="E598" s="39">
        <v>1364919.22</v>
      </c>
      <c r="F598" s="39">
        <v>388229.93</v>
      </c>
      <c r="G598" s="39">
        <v>470297.49</v>
      </c>
      <c r="H598" s="39">
        <v>152300.92000000001</v>
      </c>
      <c r="I598" s="39">
        <v>202693.82</v>
      </c>
      <c r="J598" s="39">
        <v>249023.52</v>
      </c>
      <c r="K598" s="39">
        <v>179399.77</v>
      </c>
      <c r="L598" s="39">
        <v>105683.75</v>
      </c>
      <c r="M598" s="39">
        <v>54531.68</v>
      </c>
      <c r="N598" s="39">
        <v>32763.599999999999</v>
      </c>
      <c r="O598" s="39">
        <v>37094.879999999997</v>
      </c>
      <c r="P598" s="39">
        <v>6655.61</v>
      </c>
      <c r="Q598" s="39">
        <v>3755.38</v>
      </c>
      <c r="R598" s="39">
        <v>22619.040000000001</v>
      </c>
      <c r="S598" s="39">
        <v>34112.43</v>
      </c>
      <c r="T598" s="39">
        <v>72236.490000000005</v>
      </c>
      <c r="U598" s="39">
        <v>96298.3</v>
      </c>
      <c r="V598" s="39">
        <v>139580.07999999999</v>
      </c>
      <c r="W598" s="39">
        <v>110116.38</v>
      </c>
      <c r="X598" s="39">
        <v>60601.96</v>
      </c>
      <c r="Y598" s="39">
        <v>102843.26</v>
      </c>
      <c r="Z598" s="39">
        <v>115965.71</v>
      </c>
      <c r="AA598" s="39">
        <v>564181.34</v>
      </c>
      <c r="AB598" s="39">
        <v>96739.24</v>
      </c>
      <c r="AC598" s="39">
        <v>96600.27</v>
      </c>
      <c r="AD598" s="39">
        <v>170916.9</v>
      </c>
      <c r="AE598" s="39">
        <v>1003627.57</v>
      </c>
      <c r="AF598" s="39">
        <v>115857.60000000001</v>
      </c>
      <c r="AG598" s="39">
        <v>310087.62</v>
      </c>
      <c r="AH598" s="39">
        <v>354393.05</v>
      </c>
      <c r="AI598" s="39">
        <v>456752.34</v>
      </c>
      <c r="AJ598" s="39">
        <v>420815.85</v>
      </c>
      <c r="AK598" s="39">
        <v>603631.93999999994</v>
      </c>
      <c r="AL598" s="39">
        <v>244242.34</v>
      </c>
      <c r="AM598" s="40" t="e">
        <f>+#REF!</f>
        <v>#REF!</v>
      </c>
      <c r="AO598" s="42"/>
      <c r="AP598" s="1"/>
      <c r="AQ598" s="41"/>
      <c r="AR598" s="43"/>
      <c r="AS598" s="43"/>
      <c r="AT598" s="43"/>
      <c r="AU598" s="43"/>
      <c r="AV598" s="43"/>
      <c r="AW598" s="43"/>
      <c r="AX598" s="43"/>
      <c r="AY598" s="43"/>
      <c r="AZ598" s="43"/>
      <c r="BA598" s="43"/>
      <c r="BB598" s="43"/>
      <c r="BC598" s="43"/>
      <c r="BD598" s="43"/>
      <c r="BE598" s="43"/>
      <c r="BF598" s="43"/>
      <c r="BG598" s="43"/>
      <c r="BH598" s="43"/>
      <c r="BI598" s="43"/>
      <c r="BJ598" s="43"/>
      <c r="BK598" s="43"/>
      <c r="BL598" s="43"/>
      <c r="BM598" s="43"/>
      <c r="BN598" s="43"/>
      <c r="BO598" s="43"/>
      <c r="BP598" s="43"/>
      <c r="BQ598" s="43"/>
      <c r="BR598" s="43"/>
      <c r="BS598" s="43"/>
      <c r="BT598" s="43"/>
      <c r="BU598" s="43"/>
      <c r="BV598" s="43"/>
      <c r="BW598" s="43"/>
      <c r="BX598" s="43"/>
      <c r="BY598" s="43"/>
      <c r="BZ598" s="43"/>
      <c r="CA598" s="43"/>
    </row>
    <row r="599" spans="1:79" ht="14.65" thickBot="1">
      <c r="A599" s="44" t="s">
        <v>138</v>
      </c>
      <c r="B599" s="458"/>
      <c r="C599" s="45">
        <v>807657.47</v>
      </c>
      <c r="D599" s="45">
        <v>130643.46</v>
      </c>
      <c r="E599" s="45">
        <v>118164.03</v>
      </c>
      <c r="F599" s="45">
        <v>43212.14</v>
      </c>
      <c r="G599" s="45">
        <v>157511.35</v>
      </c>
      <c r="H599" s="45">
        <v>860.08</v>
      </c>
      <c r="I599" s="45">
        <v>29032.81</v>
      </c>
      <c r="J599" s="45">
        <v>47241.45</v>
      </c>
      <c r="K599" s="45">
        <v>0</v>
      </c>
      <c r="L599" s="45">
        <v>0</v>
      </c>
      <c r="M599" s="45">
        <v>0</v>
      </c>
      <c r="N599" s="45">
        <v>108640</v>
      </c>
      <c r="O599" s="45">
        <v>222.08</v>
      </c>
      <c r="P599" s="45">
        <v>72534.899999999994</v>
      </c>
      <c r="Q599" s="45">
        <v>242666.68</v>
      </c>
      <c r="R599" s="45">
        <v>55378.09</v>
      </c>
      <c r="S599" s="45">
        <v>178589.69</v>
      </c>
      <c r="T599" s="45">
        <v>334976.76</v>
      </c>
      <c r="U599" s="45">
        <v>228052.58</v>
      </c>
      <c r="V599" s="45">
        <v>97143.22</v>
      </c>
      <c r="W599" s="45">
        <v>29191.95</v>
      </c>
      <c r="X599" s="45">
        <v>11083.1</v>
      </c>
      <c r="Y599" s="45">
        <v>243785.45</v>
      </c>
      <c r="Z599" s="45">
        <v>73339</v>
      </c>
      <c r="AA599" s="45">
        <v>106400</v>
      </c>
      <c r="AB599" s="45">
        <v>37360.9</v>
      </c>
      <c r="AC599" s="45">
        <v>23861.58</v>
      </c>
      <c r="AD599" s="45">
        <v>87241.77</v>
      </c>
      <c r="AE599" s="45">
        <v>106587.87</v>
      </c>
      <c r="AF599" s="45">
        <v>141120</v>
      </c>
      <c r="AG599" s="45">
        <v>16142.71</v>
      </c>
      <c r="AH599" s="45">
        <v>331721.94</v>
      </c>
      <c r="AI599" s="45">
        <v>90672.38</v>
      </c>
      <c r="AJ599" s="45">
        <v>54089.03</v>
      </c>
      <c r="AK599" s="45">
        <v>259106.81</v>
      </c>
      <c r="AL599" s="45">
        <v>533342.07999999996</v>
      </c>
      <c r="AM599" s="46" t="e">
        <f>+#REF!</f>
        <v>#REF!</v>
      </c>
      <c r="AO599" s="42"/>
      <c r="AP599" s="43"/>
      <c r="AQ599" s="1"/>
      <c r="AR599" s="42"/>
      <c r="AS599" s="42"/>
      <c r="AT599" s="42"/>
      <c r="AU599" s="42"/>
      <c r="AV599" s="42"/>
      <c r="AW599" s="42"/>
      <c r="AX599" s="42"/>
      <c r="AY599" s="42"/>
      <c r="AZ599" s="42"/>
    </row>
    <row r="600" spans="1:79" ht="14.65" thickBot="1">
      <c r="AO600" s="43"/>
      <c r="AP600" s="43"/>
      <c r="AQ600" s="43"/>
      <c r="AR600" s="43"/>
      <c r="AS600" s="43"/>
      <c r="AT600" s="43"/>
      <c r="AU600" s="43"/>
      <c r="AV600" s="43"/>
      <c r="AW600" s="43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/>
      <c r="BK600" s="43"/>
      <c r="BL600" s="43"/>
      <c r="BM600" s="43"/>
      <c r="BN600" s="43"/>
      <c r="BO600" s="43"/>
      <c r="BP600" s="43"/>
      <c r="BQ600" s="43"/>
      <c r="BR600" s="43"/>
      <c r="BS600" s="43"/>
      <c r="BT600" s="43"/>
      <c r="BU600" s="43"/>
      <c r="BV600" s="43"/>
      <c r="BW600" s="1"/>
    </row>
    <row r="601" spans="1:79">
      <c r="A601" s="47" t="s">
        <v>139</v>
      </c>
      <c r="B601" s="48" t="s">
        <v>140</v>
      </c>
      <c r="C601" t="s">
        <v>141</v>
      </c>
      <c r="E601" s="455" t="s">
        <v>142</v>
      </c>
      <c r="F601" s="455"/>
      <c r="I601" s="463" t="s">
        <v>143</v>
      </c>
      <c r="J601" s="463"/>
      <c r="M601" s="415" t="s">
        <v>144</v>
      </c>
      <c r="N601" s="415"/>
      <c r="AC601" s="42"/>
      <c r="AD601" s="42"/>
      <c r="AE601" s="42"/>
      <c r="AF601" s="42"/>
      <c r="AG601" s="42"/>
      <c r="AH601" s="42"/>
      <c r="AI601" s="42"/>
      <c r="AJ601" s="42"/>
      <c r="AK601" s="42"/>
      <c r="AP601" s="43"/>
    </row>
    <row r="602" spans="1:79">
      <c r="A602" s="24" t="s">
        <v>145</v>
      </c>
      <c r="B602" s="72">
        <v>0.35</v>
      </c>
      <c r="C602" s="217">
        <f>+B602*F606</f>
        <v>1.575</v>
      </c>
      <c r="E602" s="49" t="s">
        <v>146</v>
      </c>
      <c r="F602" s="23">
        <f>IF(B658&gt;=(B659*1.5),100,IF(B658&gt;=(B659*1.3),80,IF(B658&gt;=(B659*1),50,IF(B658&gt;=(B659*0.75),30,IF(B658&gt;=(B659*0.5),0,IF(B658&lt;=0,-30))))))</f>
        <v>-30</v>
      </c>
      <c r="G602" s="7"/>
      <c r="I602" s="49" t="s">
        <v>147</v>
      </c>
      <c r="J602">
        <f>IF(B643&lt;0.02,100,
IF(B643&lt;0.05,70,
IF(B643&lt;0.8,40,0)))</f>
        <v>70</v>
      </c>
      <c r="M602" s="49" t="s">
        <v>148</v>
      </c>
      <c r="N602">
        <f>IF(B636&gt;=36,100,
IF(B636&gt;=24,80,
IF(B636&gt;=12,60,40)))</f>
        <v>100</v>
      </c>
      <c r="AO602" s="43"/>
      <c r="AP602" s="43"/>
    </row>
    <row r="603" spans="1:79">
      <c r="A603" s="24" t="s">
        <v>61</v>
      </c>
      <c r="B603" s="72">
        <v>0.25</v>
      </c>
      <c r="C603" s="217">
        <f>+B603*N608</f>
        <v>-7.5</v>
      </c>
      <c r="E603" s="49" t="s">
        <v>149</v>
      </c>
      <c r="F603">
        <f>IF(B625&gt;0.3,100,IF(B625&gt;0.2,80,IF(B625&gt;0.15,60,IF(B625&gt;0.1,40,IF(B625&gt;0.05,20,IF(B625&gt;0,0,-20))))))</f>
        <v>-20</v>
      </c>
      <c r="G603" s="7"/>
      <c r="I603" s="49" t="s">
        <v>150</v>
      </c>
      <c r="J603">
        <f>IF(B637=1,-100,100)</f>
        <v>100</v>
      </c>
      <c r="M603" s="49" t="s">
        <v>151</v>
      </c>
      <c r="N603">
        <f>IF(B635&gt;=24,100,
IF(B635&gt;=12,80,
IF(B635&gt;=6,60,40)))</f>
        <v>100</v>
      </c>
      <c r="AF603" s="28"/>
      <c r="AG603" s="27"/>
      <c r="AO603" s="43"/>
      <c r="AP603" s="43"/>
    </row>
    <row r="604" spans="1:79" ht="14.65" thickBot="1">
      <c r="A604" s="24" t="s">
        <v>152</v>
      </c>
      <c r="B604" s="72">
        <v>7.4999999999999997E-2</v>
      </c>
      <c r="C604" s="217">
        <f>+B604*J605</f>
        <v>6.75</v>
      </c>
      <c r="E604" s="49" t="s">
        <v>153</v>
      </c>
      <c r="F604">
        <f>IF(B628&lt;0.1,100,IF(B628&lt;0.2,70,IF(B628&lt;0.3,50,IF(B628&lt;0.4,30,IF(B628&lt;0.5,20,IF(B628&gt;0.5,0,))))))</f>
        <v>50</v>
      </c>
      <c r="G604" s="7"/>
      <c r="I604" s="49" t="s">
        <v>154</v>
      </c>
      <c r="J604">
        <f>IF(B647="NO FACHADA",100,-50)</f>
        <v>100</v>
      </c>
      <c r="M604" s="49" t="s">
        <v>155</v>
      </c>
      <c r="N604">
        <f>IF(B632&gt;0.2,100,
IF(B632&gt;0.1,80,
IF(B632&gt;0,40,IF(B632&gt;-0.05,0,-40))))</f>
        <v>80</v>
      </c>
      <c r="AF604" s="28"/>
      <c r="AO604" s="43"/>
      <c r="AP604" s="43"/>
    </row>
    <row r="605" spans="1:79" ht="15" thickTop="1" thickBot="1">
      <c r="A605" s="24" t="s">
        <v>156</v>
      </c>
      <c r="B605" s="72">
        <v>7.4999999999999997E-2</v>
      </c>
      <c r="C605" s="217">
        <f>+B605*J611</f>
        <v>4.5</v>
      </c>
      <c r="E605" s="49" t="str">
        <f>+A661</f>
        <v>Activo VS ventas anuales</v>
      </c>
      <c r="F605">
        <f>IF(B661&lt;0.1,100,
IF(B661&lt;0.2,80,
IF(B661&lt;0.3,40,IF(B661&lt;0.5,20,IF(B661&lt;0.7,0,-40)))))</f>
        <v>100</v>
      </c>
      <c r="G605" s="7"/>
      <c r="J605" s="215">
        <f>AVERAGE(J602,J603,J604)</f>
        <v>90</v>
      </c>
      <c r="M605" s="49" t="s">
        <v>402</v>
      </c>
      <c r="N605" s="441">
        <f>+D633</f>
        <v>100</v>
      </c>
      <c r="AO605" s="43"/>
      <c r="AP605" s="43"/>
    </row>
    <row r="606" spans="1:79" ht="15" thickTop="1" thickBot="1">
      <c r="A606" s="50" t="s">
        <v>158</v>
      </c>
      <c r="B606" s="368">
        <v>0.25</v>
      </c>
      <c r="C606" s="217">
        <f>+B606*F611</f>
        <v>8.9499999999999993</v>
      </c>
      <c r="D606" s="217">
        <f>+B606*G611</f>
        <v>-5</v>
      </c>
      <c r="F606" s="215">
        <f>F602*0.4 + F603*0.3 + F604*0.15+F605*0.15</f>
        <v>4.5</v>
      </c>
      <c r="M606" s="49" t="s">
        <v>157</v>
      </c>
      <c r="N606">
        <f>IF(B621&lt;30,100,IF(B621&lt;45,90,IF(B621&lt;60,75,IF(B621&lt;75,60,IF(B621&lt;90,40,20)))))</f>
        <v>100</v>
      </c>
      <c r="AO606" s="43"/>
      <c r="AP606" s="43"/>
    </row>
    <row r="607" spans="1:79" ht="16.149999999999999" thickBot="1">
      <c r="A607" s="377" t="s">
        <v>360</v>
      </c>
      <c r="B607" s="378">
        <f>+(C602+C603+C604+C605+C606)*10</f>
        <v>142.75</v>
      </c>
      <c r="I607" s="464" t="s">
        <v>160</v>
      </c>
      <c r="J607" s="464"/>
      <c r="M607" s="49" t="s">
        <v>159</v>
      </c>
      <c r="N607">
        <f>IF(AND(B622&gt;=30,B622&lt;=60),100,IF(OR(AND(B622&gt;=15,B622&lt;30),AND(B622&gt;60,B622&lt;=75)),70,20))</f>
        <v>20</v>
      </c>
      <c r="AO607" s="43"/>
      <c r="AP607" s="43"/>
    </row>
    <row r="608" spans="1:79" ht="16.149999999999999" thickBot="1">
      <c r="A608" s="44" t="s">
        <v>361</v>
      </c>
      <c r="B608" s="379">
        <f>+(C602+C603+C604+C605+D606)*10</f>
        <v>3.2500000000000018</v>
      </c>
      <c r="C608" s="384" t="str">
        <f>IF(B608&gt;=850,"Excelente Candidato",
IF(B608&gt;=700,"Aprobación",
IF(B608&gt;=550,"Aprobar con Aval",
IF(B608&gt;=500,"Revisar con Obligado",IF(B608&gt;=400,"Solicitar Aval * Depósitos","Sugerenica Rechazo")))))</f>
        <v>Sugerenica Rechazo</v>
      </c>
      <c r="E608" s="465" t="s">
        <v>161</v>
      </c>
      <c r="F608" s="465"/>
      <c r="G608" s="23" t="s">
        <v>162</v>
      </c>
      <c r="I608" s="49" t="s">
        <v>163</v>
      </c>
      <c r="J608">
        <f>IF(B639&lt;1500,100,IF(B639&lt;2000,50,IF(B639&lt;2500,25,IF(B639&lt;3500,0,IF(B639&gt;=3500,-30,)))))</f>
        <v>100</v>
      </c>
      <c r="M608" s="49" t="str">
        <f>+A627</f>
        <v>Coeficiente Variacion Flujo</v>
      </c>
      <c r="N608" s="23">
        <f>IF(B617&lt;0,IF(B627&gt;2,-30,0),IF(B627&lt;1,100,IF(B627&lt;2,70,IF(B627&lt;3,40,IF(B627&lt;4,30,IF(B627&lt;5,0,-30))))))</f>
        <v>-30</v>
      </c>
      <c r="AO608" s="43"/>
      <c r="AP608" s="43"/>
    </row>
    <row r="609" spans="1:42" ht="15" thickTop="1" thickBot="1">
      <c r="A609" s="8" t="s">
        <v>164</v>
      </c>
      <c r="B609" s="383" t="str">
        <f>IF(B608&gt;=850,"Muy poco riesgo",
IF(B608&gt;=700,"Riesgo Bajo",
IF(B608&gt;=600,"Riesgo aceptable",
IF(B608&gt;=500,"Riesgo Medio",IF(B608&gt;=400,"Riesgo Alto","Riesgo muy Alto")))))</f>
        <v>Riesgo muy Alto</v>
      </c>
      <c r="C609" s="318" t="str">
        <f>+IF(B638="RECHAZAR","RECHAZAR",IF(B644="ALERTA","ALERTA","NO en listas negras"))</f>
        <v>NO en listas negras</v>
      </c>
      <c r="E609" s="49" t="s">
        <v>165</v>
      </c>
      <c r="F609">
        <f>IF(B645&gt;=330,100,IF(B645&gt;=300,80,IF(B645&gt;=270,72,IF(B645&gt;=240,68,IF(B645&gt;=220,64,IF(B645&gt;=200,40,IF(B645&gt;=180,10,IF(B645="",30,0))))))))</f>
        <v>64</v>
      </c>
      <c r="G609" s="2" t="s">
        <v>166</v>
      </c>
      <c r="I609" s="442" t="s">
        <v>403</v>
      </c>
      <c r="J609" s="23">
        <f>IF(B641&lt;0.025,100,IF(B641&lt;0.05,80,IF(B641&lt;0.075,50,IF(B641&lt;0.1,0,IF(B641&lt;0.15,-20,IF(B641&gt;0.25,-30,-40))))))</f>
        <v>-20</v>
      </c>
      <c r="N609" s="357">
        <f>(N602*0.025)+(N603*0.025)+(N604*0.3)+(N605*0.15)+(N606*0.15)+(N607*0.1)+(N608*0.25)</f>
        <v>53.5</v>
      </c>
      <c r="AO609" s="43"/>
      <c r="AP609" s="43"/>
    </row>
    <row r="610" spans="1:42" ht="15" thickTop="1" thickBot="1">
      <c r="A610" s="8" t="s">
        <v>136</v>
      </c>
      <c r="B610" s="319" t="str">
        <f>+C660</f>
        <v>Negativo</v>
      </c>
      <c r="C610" s="320" t="str">
        <f>+B647</f>
        <v>NO FACHADA</v>
      </c>
      <c r="E610" s="8" t="str">
        <f>+A623</f>
        <v>CxP / Flujo Operativo</v>
      </c>
      <c r="F610" s="23">
        <f>IF(B623&lt;0, -30, IF(B623&lt;1, 100, IF(B623&lt;2, 70, IF(B623&lt;3, 40, IF(B623&lt;5, 30, 0)))))</f>
        <v>-30</v>
      </c>
      <c r="G610" s="385">
        <f>IF(B617&lt;0, -20, IF(B623&lt;1, 100, IF(B623&lt;2, 70, IF(B623&lt;3, 40, IF(B623&lt;5, 30, 0)))))</f>
        <v>-20</v>
      </c>
      <c r="I610" s="49" t="s">
        <v>168</v>
      </c>
      <c r="J610">
        <f>IF(B642&lt;0.05,100,
IF(B642&lt;0.1,80,IF(B642&lt;0.2,50,IF(B642&lt;0.4,0,-40))))</f>
        <v>100</v>
      </c>
      <c r="AO610" s="43"/>
      <c r="AP610" s="43"/>
    </row>
    <row r="611" spans="1:42" ht="15" thickTop="1" thickBot="1">
      <c r="A611" s="8" t="s">
        <v>156</v>
      </c>
      <c r="B611" s="321" t="str">
        <f>+B640</f>
        <v>OK</v>
      </c>
      <c r="C611" s="322" t="str">
        <f>+C657</f>
        <v>Flujo Insuficiente</v>
      </c>
      <c r="F611" s="214">
        <f>(F609*0.7)+(F610*0.3)</f>
        <v>35.799999999999997</v>
      </c>
      <c r="G611" s="214">
        <f>(G610*1)</f>
        <v>-20</v>
      </c>
      <c r="J611" s="215">
        <f>AVERAGE(J608,J609,J610)</f>
        <v>60</v>
      </c>
      <c r="AO611" s="43"/>
      <c r="AP611" s="43"/>
    </row>
    <row r="612" spans="1:42" ht="14.65" thickBot="1">
      <c r="L612" s="470" t="s">
        <v>169</v>
      </c>
      <c r="M612" s="471"/>
      <c r="AO612" s="43"/>
      <c r="AP612" s="43"/>
    </row>
    <row r="613" spans="1:42" ht="21.4" thickBot="1">
      <c r="A613" s="51" t="s">
        <v>171</v>
      </c>
      <c r="B613" s="52" t="s">
        <v>172</v>
      </c>
      <c r="D613" s="53"/>
      <c r="K613" s="28"/>
      <c r="L613" s="241" t="s">
        <v>102</v>
      </c>
      <c r="M613" s="241" t="s">
        <v>103</v>
      </c>
      <c r="N613" s="54"/>
      <c r="AO613" s="43"/>
      <c r="AP613" s="43"/>
    </row>
    <row r="614" spans="1:42" ht="14.65" thickBot="1">
      <c r="A614" s="55" t="s">
        <v>174</v>
      </c>
      <c r="B614" s="56" t="s">
        <v>175</v>
      </c>
      <c r="C614" s="56" t="s">
        <v>176</v>
      </c>
      <c r="D614" s="56" t="s">
        <v>177</v>
      </c>
      <c r="E614" s="466" t="s">
        <v>178</v>
      </c>
      <c r="F614" s="467"/>
      <c r="K614" s="28"/>
      <c r="L614" s="242" t="s">
        <v>150</v>
      </c>
      <c r="M614" s="243" t="s">
        <v>170</v>
      </c>
      <c r="N614" s="54"/>
      <c r="AO614" s="43"/>
      <c r="AP614" s="43"/>
    </row>
    <row r="615" spans="1:42" ht="14.65" customHeight="1">
      <c r="A615" t="s">
        <v>180</v>
      </c>
      <c r="B615" s="358">
        <f>AVERAGE(C595:N595)</f>
        <v>3324126.1816666666</v>
      </c>
      <c r="C615" s="359">
        <f>AVERAGE(C595:AL595)</f>
        <v>2938732.5002777777</v>
      </c>
      <c r="D615" s="2" t="str">
        <f>IF(B615/B616&gt;1.5,"Bien",IF(B615/B616&gt;1.3,"Ok",IF(B615/B616&gt;1.2,"Revisar",IF(B615/B616&gt;1.15,"Muy Bajo","Alerta"))))</f>
        <v>Alerta</v>
      </c>
      <c r="E615" s="57" t="s">
        <v>181</v>
      </c>
      <c r="K615" s="26"/>
      <c r="L615" s="244" t="s">
        <v>173</v>
      </c>
      <c r="M615" s="245" t="s">
        <v>170</v>
      </c>
      <c r="N615" s="58"/>
      <c r="O615" s="58"/>
      <c r="AO615" s="43"/>
      <c r="AP615" s="43"/>
    </row>
    <row r="616" spans="1:42">
      <c r="A616" t="s">
        <v>184</v>
      </c>
      <c r="B616" s="358">
        <f>AVERAGE(C596:N596)</f>
        <v>3655558.5091666668</v>
      </c>
      <c r="C616" s="359">
        <f>AVERAGE(C596:AL596)</f>
        <v>3073334.4908333337</v>
      </c>
      <c r="D616" s="53" t="str">
        <f>IF(B616/B615&lt;0.6,"Bien",IF(B616/B615&lt;0.76,"Ok",IF(B616/B615&lt;0.8,"Revisar",IF(B616/B615&lt;0.89,"Riesgo","Alerta"))))</f>
        <v>Alerta</v>
      </c>
      <c r="E616" s="57" t="s">
        <v>185</v>
      </c>
      <c r="L616" s="244" t="s">
        <v>179</v>
      </c>
      <c r="M616" s="245" t="s">
        <v>170</v>
      </c>
      <c r="N616" s="58"/>
      <c r="O616" s="58"/>
      <c r="AO616" s="43"/>
      <c r="AP616" s="43"/>
    </row>
    <row r="617" spans="1:42">
      <c r="A617" t="s">
        <v>187</v>
      </c>
      <c r="B617" s="358">
        <f>AVERAGE(C597:N597)</f>
        <v>-229335.70833333334</v>
      </c>
      <c r="C617" s="359">
        <f>AVERAGE(C597:AL597)</f>
        <v>-21507.097499999993</v>
      </c>
      <c r="D617" s="53" t="str">
        <f>IF(B617/B656&gt;2,"Bien",IF(B617/B656&gt;1.5,"Ok",IF(B617/B656&gt;1.2,"Revisión","Alerta")))</f>
        <v>Alerta</v>
      </c>
      <c r="E617" s="57" t="s">
        <v>188</v>
      </c>
      <c r="L617" s="244" t="s">
        <v>182</v>
      </c>
      <c r="M617" s="245" t="s">
        <v>183</v>
      </c>
      <c r="AO617" s="43"/>
      <c r="AP617" s="43"/>
    </row>
    <row r="618" spans="1:42" ht="14.65" thickBot="1">
      <c r="A618" t="s">
        <v>189</v>
      </c>
      <c r="B618" s="359">
        <f>B617*IF(B617&gt;=0, B666, 1+(1-B666))</f>
        <v>-298136.42083333334</v>
      </c>
      <c r="C618" s="359">
        <f>C617*IF(C617&gt;=0, B666, 1+(1-B666))</f>
        <v>-27959.226749999991</v>
      </c>
      <c r="D618" s="2" t="str">
        <f>IF(B618/B656&gt;2,"Bien",IF(B618/B656&gt;1.5,"Ok",IF(B618/B656&gt;1.2,"Revisión","Alerta")))</f>
        <v>Alerta</v>
      </c>
      <c r="E618" s="57" t="s">
        <v>190</v>
      </c>
      <c r="L618" s="246" t="s">
        <v>186</v>
      </c>
      <c r="M618" s="247" t="s">
        <v>183</v>
      </c>
      <c r="AO618" s="43"/>
      <c r="AP618" s="43"/>
    </row>
    <row r="619" spans="1:42">
      <c r="A619" t="s">
        <v>191</v>
      </c>
      <c r="B619" s="358">
        <f>AVERAGE(C598:N598)</f>
        <v>803698.75749999983</v>
      </c>
      <c r="C619" s="359">
        <f>AVERAGE(C598:AL598)</f>
        <v>413447.5186111111</v>
      </c>
      <c r="E619" s="9" t="s">
        <v>192</v>
      </c>
      <c r="M619" s="54"/>
      <c r="AO619" s="43"/>
      <c r="AP619" s="43"/>
    </row>
    <row r="620" spans="1:42">
      <c r="A620" t="s">
        <v>193</v>
      </c>
      <c r="B620" s="358">
        <f>AVERAGE(C599:N599)</f>
        <v>120246.89916666667</v>
      </c>
      <c r="C620" s="359">
        <f>AVERAGE(C599:AL599)</f>
        <v>133265.92666666667</v>
      </c>
      <c r="E620" s="9" t="s">
        <v>194</v>
      </c>
      <c r="M620" s="54"/>
      <c r="AO620" s="43"/>
      <c r="AP620" s="43"/>
    </row>
    <row r="621" spans="1:42">
      <c r="A621" t="s">
        <v>195</v>
      </c>
      <c r="B621" s="360">
        <f>+(B619/B615)*30</f>
        <v>7.2533235525106097</v>
      </c>
      <c r="C621" s="360">
        <f>+(C619/C615)*30</f>
        <v>4.2206718567140511</v>
      </c>
      <c r="D621" s="10" t="str">
        <f>+IF(B621&gt;B622,"Financia a Proveedores", "Proveedores la Financian")</f>
        <v>Financia a Proveedores</v>
      </c>
      <c r="E621" s="9" t="s">
        <v>196</v>
      </c>
      <c r="H621" s="1"/>
      <c r="AO621" s="43"/>
      <c r="AP621" s="43"/>
    </row>
    <row r="622" spans="1:42">
      <c r="A622" t="s">
        <v>197</v>
      </c>
      <c r="B622" s="360">
        <f>+(B620/B616)*30</f>
        <v>0.98682785843916276</v>
      </c>
      <c r="C622" s="360">
        <f>+(C620/C616)*30</f>
        <v>1.3008599655925996</v>
      </c>
      <c r="D622" s="10" t="str">
        <f>+IF(B622&gt;B621,"Proveedores la Financian","Financia a Proveedores")</f>
        <v>Financia a Proveedores</v>
      </c>
      <c r="E622" s="9" t="s">
        <v>196</v>
      </c>
      <c r="AO622" s="43"/>
      <c r="AP622" s="43"/>
    </row>
    <row r="623" spans="1:42">
      <c r="A623" t="s">
        <v>198</v>
      </c>
      <c r="B623" s="208">
        <f>+(B620*4.5)/(B617*12)</f>
        <v>-0.19662261718946589</v>
      </c>
      <c r="C623" s="208">
        <f>+(C620*4.5)/(C617*12)</f>
        <v>-2.3236386267370581</v>
      </c>
      <c r="D623" s="59"/>
      <c r="E623" s="57" t="s">
        <v>346</v>
      </c>
      <c r="I623" s="9" t="s">
        <v>199</v>
      </c>
      <c r="AO623" s="43"/>
      <c r="AP623" s="43"/>
    </row>
    <row r="624" spans="1:42">
      <c r="A624" t="s">
        <v>200</v>
      </c>
      <c r="B624" t="s">
        <v>201</v>
      </c>
      <c r="C624" s="360"/>
      <c r="E624" s="9"/>
      <c r="AO624" s="43"/>
      <c r="AP624" s="43"/>
    </row>
    <row r="625" spans="1:42">
      <c r="A625" t="s">
        <v>202</v>
      </c>
      <c r="B625" s="60">
        <f>(B617/B615)</f>
        <v>-6.8991276443768415E-2</v>
      </c>
      <c r="C625" s="60">
        <f>(C617/C615)</f>
        <v>-7.3184944522739232E-3</v>
      </c>
      <c r="D625" s="2">
        <f>+IF(B625&gt;0.2,100,IF(B625&gt;0.1,80,IF(B625&gt;0,40,0)))</f>
        <v>0</v>
      </c>
      <c r="E625" s="57" t="s">
        <v>203</v>
      </c>
      <c r="H625" t="s">
        <v>357</v>
      </c>
      <c r="AO625" s="43"/>
      <c r="AP625" s="43"/>
    </row>
    <row r="626" spans="1:42">
      <c r="A626" t="s">
        <v>362</v>
      </c>
      <c r="B626" s="381">
        <f>_xlfn.STDEV.P(C597:N597)</f>
        <v>970272.02012014622</v>
      </c>
      <c r="C626" s="381">
        <f>_xlfn.STDEV.P(C597:AL597)</f>
        <v>745394.37278561806</v>
      </c>
      <c r="E626" s="57" t="s">
        <v>204</v>
      </c>
      <c r="AO626" s="43"/>
      <c r="AP626" s="43"/>
    </row>
    <row r="627" spans="1:42">
      <c r="A627" t="s">
        <v>205</v>
      </c>
      <c r="B627" s="382">
        <f>ABS(B626/B617)</f>
        <v>4.2307934824954589</v>
      </c>
      <c r="C627" s="366">
        <f>C626/C617</f>
        <v>-34.658064519660002</v>
      </c>
      <c r="D627" s="57"/>
      <c r="E627" s="57" t="s">
        <v>347</v>
      </c>
      <c r="AO627" s="43"/>
      <c r="AP627" s="43"/>
    </row>
    <row r="628" spans="1:42">
      <c r="A628" t="s">
        <v>206</v>
      </c>
      <c r="B628" s="60">
        <f>+(B626/B615)</f>
        <v>0.29188784272733787</v>
      </c>
      <c r="C628" s="60">
        <f>+(C626/C615)</f>
        <v>0.25364485291368344</v>
      </c>
      <c r="D628" s="2" t="str">
        <f>+IF(B628&lt;20%,"Estables",IF(B628&lt;40%,"Normal",IF(B628&gt;40%,"Volatil")))</f>
        <v>Normal</v>
      </c>
      <c r="E628" s="57" t="s">
        <v>207</v>
      </c>
      <c r="AO628" s="43"/>
      <c r="AP628" s="43"/>
    </row>
    <row r="629" spans="1:42">
      <c r="A629" t="s">
        <v>208</v>
      </c>
      <c r="B629" s="361">
        <f>COUNTIF(D595:O595,"&gt;0")</f>
        <v>12</v>
      </c>
      <c r="C629" s="362">
        <f>COUNTIF(D595:AM595,"&gt;0")</f>
        <v>35</v>
      </c>
      <c r="E629" s="57" t="s">
        <v>209</v>
      </c>
      <c r="AO629" s="43"/>
      <c r="AP629" s="43"/>
    </row>
    <row r="630" spans="1:42">
      <c r="A630" t="s">
        <v>210</v>
      </c>
      <c r="B630" s="363">
        <f>B629/12</f>
        <v>1</v>
      </c>
      <c r="C630" s="363">
        <f>C629/36</f>
        <v>0.97222222222222221</v>
      </c>
      <c r="D630" s="2" t="str">
        <f>+IF(B630&gt;90%,"Estable",IF(B630&gt;50%,"Intermitente",IF(B630&lt;50%,"Riesgoso")))</f>
        <v>Estable</v>
      </c>
      <c r="E630" s="57" t="s">
        <v>211</v>
      </c>
      <c r="AO630" s="43"/>
      <c r="AP630" s="43"/>
    </row>
    <row r="631" spans="1:42" s="203" customFormat="1">
      <c r="B631" s="204"/>
      <c r="C631" s="204"/>
      <c r="D631" s="205"/>
      <c r="E631" s="206"/>
      <c r="AO631" s="207"/>
      <c r="AP631" s="207"/>
    </row>
    <row r="632" spans="1:42">
      <c r="A632" t="s">
        <v>212</v>
      </c>
      <c r="B632" s="60">
        <f>AVERAGE(C595:H595)/AVERAGE(I595:N595)-1</f>
        <v>0.12665592835756678</v>
      </c>
      <c r="C632" s="60">
        <f>AVERAGE(C595:T595)/AVERAGE(U595:AL595)-1</f>
        <v>0.17091344695131827</v>
      </c>
      <c r="D632" s="2" t="str">
        <f>+IF(B632&gt;15%,"Bueno",IF(B632&gt;5%,"Estable",IF(B632&gt;1%,"Bajo",IF(B632&gt;-10%,"Alerta","Deterioro"))))</f>
        <v>Estable</v>
      </c>
      <c r="E632" s="9" t="s">
        <v>213</v>
      </c>
      <c r="AO632" s="43"/>
      <c r="AP632" s="43"/>
    </row>
    <row r="633" spans="1:42" ht="14.65" thickBot="1">
      <c r="A633" s="23" t="s">
        <v>401</v>
      </c>
      <c r="B633" s="439">
        <f>AVERAGE(C596:H596)/AVERAGE(I596:N596)-1</f>
        <v>-9.3278044793180359E-2</v>
      </c>
      <c r="C633" s="439">
        <f>AVERAGE(C596:T596)/AVERAGE(U596:AL596)-1</f>
        <v>0.29003415667243515</v>
      </c>
      <c r="D633" s="440">
        <f>IF(B633&gt;B632,-20,IF(B633&lt;0,100,IF(B633&lt;=B632*0.5,80,IF(B633&lt;=B632,60,30))))</f>
        <v>100</v>
      </c>
      <c r="AO633" s="43"/>
      <c r="AP633" s="43"/>
    </row>
    <row r="634" spans="1:42" ht="14.65" thickBot="1">
      <c r="A634" s="55" t="s">
        <v>214</v>
      </c>
      <c r="B634" s="61" t="s">
        <v>215</v>
      </c>
      <c r="C634" s="466" t="s">
        <v>178</v>
      </c>
      <c r="D634" s="467"/>
      <c r="AO634" s="43"/>
      <c r="AP634" s="43"/>
    </row>
    <row r="635" spans="1:42" ht="14.65" customHeight="1">
      <c r="A635" s="16" t="s">
        <v>216</v>
      </c>
      <c r="B635" s="62">
        <v>36</v>
      </c>
      <c r="C635" s="1" t="s">
        <v>217</v>
      </c>
      <c r="I635" s="459"/>
      <c r="J635" s="459"/>
      <c r="K635" s="459"/>
      <c r="L635" s="459"/>
      <c r="M635" s="459"/>
      <c r="AO635" s="43"/>
      <c r="AP635" s="43"/>
    </row>
    <row r="636" spans="1:42" ht="14.65" customHeight="1">
      <c r="A636" s="3" t="s">
        <v>218</v>
      </c>
      <c r="B636" s="25">
        <v>36</v>
      </c>
      <c r="C636" s="1" t="s">
        <v>219</v>
      </c>
      <c r="I636" s="459"/>
      <c r="J636" s="459"/>
      <c r="K636" s="459"/>
      <c r="L636" s="459"/>
      <c r="M636" s="459"/>
      <c r="AO636" s="1"/>
      <c r="AP636" s="1"/>
    </row>
    <row r="637" spans="1:42">
      <c r="A637" s="3" t="s">
        <v>220</v>
      </c>
      <c r="B637" s="25">
        <v>0</v>
      </c>
      <c r="C637" s="1" t="s">
        <v>221</v>
      </c>
      <c r="I637" s="459"/>
      <c r="J637" s="459"/>
      <c r="K637" s="459"/>
      <c r="L637" s="459"/>
      <c r="M637" s="459"/>
      <c r="AO637" s="41"/>
      <c r="AP637" s="41"/>
    </row>
    <row r="638" spans="1:42" ht="14.65" customHeight="1">
      <c r="A638" s="3" t="s">
        <v>222</v>
      </c>
      <c r="B638" s="4" t="str">
        <f>IF(B637=1,"RECHAZAR","NO")</f>
        <v>NO</v>
      </c>
      <c r="C638" s="1" t="s">
        <v>223</v>
      </c>
      <c r="I638" s="459"/>
      <c r="J638" s="459"/>
      <c r="K638" s="459"/>
      <c r="L638" s="459"/>
      <c r="M638" s="459"/>
      <c r="AO638" s="63"/>
      <c r="AP638" s="64"/>
    </row>
    <row r="639" spans="1:42" ht="14.65" customHeight="1">
      <c r="A639" s="3" t="s">
        <v>224</v>
      </c>
      <c r="B639" s="65">
        <v>1236</v>
      </c>
      <c r="C639" s="1" t="s">
        <v>225</v>
      </c>
      <c r="I639" s="459"/>
      <c r="J639" s="459"/>
      <c r="K639" s="459"/>
      <c r="L639" s="459"/>
      <c r="M639" s="459"/>
      <c r="AO639" s="63"/>
      <c r="AP639" s="63"/>
    </row>
    <row r="640" spans="1:42">
      <c r="A640" s="3" t="s">
        <v>226</v>
      </c>
      <c r="B640" s="323" t="str">
        <f>IF(B639&gt;1500,"ALERTA CONCENTRACION","OK")</f>
        <v>OK</v>
      </c>
      <c r="C640" s="1" t="s">
        <v>227</v>
      </c>
      <c r="I640" s="459"/>
      <c r="J640" s="459"/>
      <c r="K640" s="459"/>
      <c r="L640" s="459"/>
      <c r="M640" s="459"/>
      <c r="AO640" s="63"/>
      <c r="AP640" s="63"/>
    </row>
    <row r="641" spans="1:42" ht="14.65" customHeight="1">
      <c r="A641" s="443" t="s">
        <v>403</v>
      </c>
      <c r="B641" s="66">
        <v>0.11</v>
      </c>
      <c r="C641" s="1" t="s">
        <v>229</v>
      </c>
      <c r="I641" s="459"/>
      <c r="J641" s="459"/>
      <c r="K641" s="459"/>
      <c r="L641" s="459"/>
      <c r="M641" s="459"/>
      <c r="AP641" s="63"/>
    </row>
    <row r="642" spans="1:42" ht="14.65" customHeight="1">
      <c r="A642" s="3" t="s">
        <v>230</v>
      </c>
      <c r="B642" s="67">
        <v>0</v>
      </c>
      <c r="C642" s="1" t="s">
        <v>231</v>
      </c>
      <c r="I642" s="459"/>
      <c r="J642" s="459"/>
      <c r="K642" s="459"/>
      <c r="L642" s="459"/>
      <c r="M642" s="459"/>
    </row>
    <row r="643" spans="1:42" ht="14.65" customHeight="1">
      <c r="A643" s="3" t="s">
        <v>232</v>
      </c>
      <c r="B643" s="67">
        <v>0.03</v>
      </c>
      <c r="C643" s="1" t="s">
        <v>233</v>
      </c>
      <c r="I643" s="459"/>
      <c r="J643" s="459"/>
      <c r="K643" s="459"/>
      <c r="L643" s="459"/>
      <c r="M643" s="459"/>
    </row>
    <row r="644" spans="1:42" ht="14.65" thickBot="1">
      <c r="A644" s="3" t="s">
        <v>234</v>
      </c>
      <c r="B644" s="68" t="str">
        <f>IF(B643&gt;0.2,"ALERTA","OK")</f>
        <v>OK</v>
      </c>
      <c r="C644" s="1" t="s">
        <v>177</v>
      </c>
      <c r="I644" s="459"/>
      <c r="J644" s="459"/>
      <c r="K644" s="459"/>
      <c r="L644" s="459"/>
      <c r="M644" s="459"/>
    </row>
    <row r="645" spans="1:42" ht="14.65" customHeight="1" thickBot="1">
      <c r="A645" s="3" t="s">
        <v>235</v>
      </c>
      <c r="B645" s="69">
        <v>236</v>
      </c>
      <c r="C645" s="1" t="s">
        <v>348</v>
      </c>
      <c r="F645" s="460" t="s">
        <v>349</v>
      </c>
      <c r="G645" s="461"/>
      <c r="H645" s="461"/>
      <c r="I645" s="461"/>
      <c r="J645" s="462"/>
    </row>
    <row r="646" spans="1:42">
      <c r="A646" s="3" t="s">
        <v>236</v>
      </c>
      <c r="B646" s="68" t="str">
        <f>IF(B645&gt;175,"NO",IF(B645="","Sin Buró","RECHAZAR"))</f>
        <v>NO</v>
      </c>
      <c r="C646" s="1" t="s">
        <v>177</v>
      </c>
      <c r="I646" s="459"/>
      <c r="J646" s="459"/>
      <c r="K646" s="459"/>
      <c r="L646" s="459"/>
      <c r="M646" s="459"/>
    </row>
    <row r="647" spans="1:42" ht="14.65" thickBot="1">
      <c r="A647" s="6" t="s">
        <v>237</v>
      </c>
      <c r="B647" s="380" t="str">
        <f>IF(AND(B643&gt;0.1, B632&gt;0.5, B639&gt;3500),"Fachada RECHAZAR","NO FACHADA")</f>
        <v>NO FACHADA</v>
      </c>
      <c r="C647" s="1" t="s">
        <v>238</v>
      </c>
      <c r="I647" s="459"/>
      <c r="J647" s="459"/>
      <c r="K647" s="459"/>
      <c r="L647" s="459"/>
      <c r="M647" s="459"/>
    </row>
    <row r="648" spans="1:42" ht="14.65" thickBot="1">
      <c r="A648" s="3" t="s">
        <v>239</v>
      </c>
      <c r="B648" s="69">
        <v>655</v>
      </c>
    </row>
    <row r="649" spans="1:42" ht="14.65" thickBot="1">
      <c r="A649" s="468" t="s">
        <v>240</v>
      </c>
      <c r="B649" s="469"/>
      <c r="C649" s="56" t="s">
        <v>177</v>
      </c>
      <c r="D649" s="466" t="s">
        <v>178</v>
      </c>
      <c r="E649" s="467"/>
    </row>
    <row r="650" spans="1:42">
      <c r="A650" s="16" t="s">
        <v>241</v>
      </c>
      <c r="B650" s="70">
        <f>898473.14+112100+26816.51</f>
        <v>1037389.65</v>
      </c>
      <c r="D650" s="1" t="s">
        <v>242</v>
      </c>
      <c r="I650" s="459"/>
      <c r="J650" s="459"/>
      <c r="K650" s="459"/>
      <c r="L650" s="459"/>
      <c r="M650" s="459"/>
    </row>
    <row r="651" spans="1:42">
      <c r="A651" s="3" t="s">
        <v>243</v>
      </c>
      <c r="B651" s="71">
        <v>0</v>
      </c>
      <c r="D651" s="1" t="s">
        <v>244</v>
      </c>
      <c r="I651" s="459"/>
      <c r="J651" s="459"/>
      <c r="K651" s="459"/>
      <c r="L651" s="459"/>
      <c r="M651" s="459"/>
    </row>
    <row r="652" spans="1:42">
      <c r="A652" s="3" t="s">
        <v>245</v>
      </c>
      <c r="B652" s="71">
        <v>77454.58</v>
      </c>
      <c r="D652" s="1" t="s">
        <v>245</v>
      </c>
      <c r="I652" s="459"/>
      <c r="J652" s="459"/>
      <c r="K652" s="459"/>
      <c r="L652" s="459"/>
      <c r="M652" s="459"/>
    </row>
    <row r="653" spans="1:42">
      <c r="A653" s="3" t="s">
        <v>246</v>
      </c>
      <c r="B653" s="251">
        <f>B650-B651</f>
        <v>1037389.65</v>
      </c>
      <c r="D653" s="1" t="s">
        <v>247</v>
      </c>
      <c r="I653" s="459"/>
      <c r="J653" s="459"/>
      <c r="K653" s="459"/>
      <c r="L653" s="459"/>
      <c r="M653" s="459"/>
    </row>
    <row r="654" spans="1:42">
      <c r="A654" s="3" t="s">
        <v>248</v>
      </c>
      <c r="B654" s="25">
        <v>48</v>
      </c>
      <c r="I654" s="459"/>
      <c r="J654" s="459"/>
      <c r="K654" s="459"/>
      <c r="L654" s="459"/>
      <c r="M654" s="459"/>
    </row>
    <row r="655" spans="1:42">
      <c r="A655" s="3" t="s">
        <v>83</v>
      </c>
      <c r="B655" s="72">
        <f>+IF(B654&lt;24,30.2%,IF(B654&lt;36,26%,IF(B654&lt;48,24.55%,IF(B654&lt;60,23.82%,"0%"))))</f>
        <v>0.2382</v>
      </c>
      <c r="D655" s="73"/>
      <c r="I655" s="459"/>
      <c r="J655" s="459"/>
      <c r="K655" s="459"/>
      <c r="L655" s="459"/>
      <c r="M655" s="459"/>
    </row>
    <row r="656" spans="1:42">
      <c r="A656" s="3" t="s">
        <v>249</v>
      </c>
      <c r="B656" s="216">
        <f>+PMT(B655/12,B654,-B653,B652)</f>
        <v>32737.671897714914</v>
      </c>
      <c r="C656" s="2" t="str">
        <f>IF(B657/B656&gt;2,"Bien",IF(B657/B656&gt;1.5,"Ok",IF(B657/B656&gt;1.2,"Alerta","Le falta Flujo")))</f>
        <v>Le falta Flujo</v>
      </c>
      <c r="D656" s="1" t="s">
        <v>250</v>
      </c>
      <c r="F656" s="29"/>
      <c r="I656" s="459"/>
      <c r="J656" s="459"/>
      <c r="K656" s="459"/>
      <c r="L656" s="459"/>
      <c r="M656" s="459"/>
    </row>
    <row r="657" spans="1:13">
      <c r="A657" s="3" t="s">
        <v>189</v>
      </c>
      <c r="B657" s="216">
        <f>B618</f>
        <v>-298136.42083333334</v>
      </c>
      <c r="C657" s="2" t="str">
        <f>IF(B618/B656&gt;2,"Buen Flujo",IF(B618/B656&gt;1.5,"Ok Flujo",IF(B618/B656&gt;1.1,"Flujo muy Justo","Flujo Insuficiente")))</f>
        <v>Flujo Insuficiente</v>
      </c>
      <c r="D657" s="1" t="s">
        <v>251</v>
      </c>
      <c r="I657" s="459"/>
      <c r="J657" s="459"/>
      <c r="K657" s="459"/>
      <c r="L657" s="459"/>
      <c r="M657" s="459"/>
    </row>
    <row r="658" spans="1:13">
      <c r="A658" s="3" t="s">
        <v>252</v>
      </c>
      <c r="B658" s="364">
        <f>+(B657/B656)</f>
        <v>-9.1068302524634692</v>
      </c>
      <c r="C658" s="2" t="str">
        <f>+IF(B658&gt;1.5,"Comodo",IF(B658&gt;1.1,"Aceptable",IF(B658&lt;1.1,"Rechazo")))</f>
        <v>Rechazo</v>
      </c>
      <c r="D658" t="s">
        <v>358</v>
      </c>
      <c r="I658" s="373"/>
      <c r="J658" s="373"/>
      <c r="K658" s="373"/>
      <c r="L658" s="373"/>
      <c r="M658" s="373"/>
    </row>
    <row r="659" spans="1:13">
      <c r="A659" s="3" t="s">
        <v>253</v>
      </c>
      <c r="B659" s="289">
        <f>IF(B654&lt;=24,$B$584,IF(B654&lt;=36,$B$585,IF(B654&lt;=48,$B$586,$B$587)))</f>
        <v>2.5</v>
      </c>
      <c r="D659" t="s">
        <v>254</v>
      </c>
      <c r="I659" s="459"/>
      <c r="J659" s="459"/>
      <c r="K659" s="459"/>
      <c r="L659" s="459"/>
      <c r="M659" s="459"/>
    </row>
    <row r="660" spans="1:13">
      <c r="A660" s="3" t="s">
        <v>255</v>
      </c>
      <c r="B660" s="365"/>
      <c r="C660" s="4" t="str">
        <f>IF(B658&gt;B659,"Suficiente",IF(B658&lt;1,"Negativo","AVAL"))</f>
        <v>Negativo</v>
      </c>
      <c r="D660" t="s">
        <v>256</v>
      </c>
      <c r="I660" s="459"/>
      <c r="J660" s="459"/>
      <c r="K660" s="459"/>
      <c r="L660" s="459"/>
      <c r="M660" s="459"/>
    </row>
    <row r="661" spans="1:13">
      <c r="A661" s="3" t="s">
        <v>257</v>
      </c>
      <c r="B661" s="72">
        <f>+B650/SUM(C595:N595)</f>
        <v>2.6006575194644298E-2</v>
      </c>
      <c r="C661" s="2" t="str">
        <f>IF(B661&lt;0.1,"Excelente",IF(B661&lt;0.2,"Bien",IF(B661&lt;0.3,"Ok",IF(B661&lt;0.6,"Revisar",IF(B661&lt;0.9,"Alerta","Sobrepasado")))))</f>
        <v>Excelente</v>
      </c>
      <c r="D661" t="s">
        <v>356</v>
      </c>
      <c r="I661" s="372"/>
      <c r="J661" s="372"/>
      <c r="K661" s="372"/>
      <c r="L661" s="372"/>
      <c r="M661" s="372"/>
    </row>
    <row r="662" spans="1:13">
      <c r="A662" s="3" t="s">
        <v>258</v>
      </c>
      <c r="B662" s="216">
        <f>B657/B659</f>
        <v>-119254.56833333333</v>
      </c>
      <c r="C662" s="74" t="str">
        <f>IF(B662/B656&gt;4,"Ok",IF(B662/B656&gt;2,"OK",IF((B662/B656)&gt;1.2,"Renta con Riesgo",IF(B662/B656&lt;1.1,"No Otorgar"))))</f>
        <v>No Otorgar</v>
      </c>
      <c r="D662" t="s">
        <v>259</v>
      </c>
      <c r="G662" s="26">
        <f>+B662/B656</f>
        <v>-3.6427321009853877</v>
      </c>
      <c r="H662" s="22"/>
      <c r="I662" s="459"/>
      <c r="J662" s="459"/>
      <c r="K662" s="459"/>
      <c r="L662" s="459"/>
      <c r="M662" s="459"/>
    </row>
    <row r="663" spans="1:13" ht="14.65" thickBot="1">
      <c r="A663" s="6" t="s">
        <v>260</v>
      </c>
      <c r="B663" s="367">
        <f>IF(B657&lt;0, 0, PV(B655/12,B654,-B662))</f>
        <v>0</v>
      </c>
      <c r="C663" s="2" t="str">
        <f>+IF(B663/B650&gt;1,"Otorgar",IF(B663/B650&gt;0.75,"Revision","No Otorgar"))</f>
        <v>No Otorgar</v>
      </c>
      <c r="D663" t="s">
        <v>261</v>
      </c>
      <c r="G663" s="26"/>
      <c r="H663" s="26"/>
      <c r="I663" s="459"/>
      <c r="J663" s="459"/>
      <c r="K663" s="459"/>
      <c r="L663" s="459"/>
      <c r="M663" s="459"/>
    </row>
    <row r="664" spans="1:13" ht="14.65" thickBot="1"/>
    <row r="665" spans="1:13">
      <c r="A665" s="47" t="s">
        <v>262</v>
      </c>
      <c r="B665" s="48" t="s">
        <v>263</v>
      </c>
    </row>
    <row r="666" spans="1:13">
      <c r="A666" s="24" t="s">
        <v>264</v>
      </c>
      <c r="B666" s="25">
        <v>0.7</v>
      </c>
    </row>
    <row r="667" spans="1:13">
      <c r="A667" s="24" t="s">
        <v>80</v>
      </c>
      <c r="B667" s="25">
        <v>3</v>
      </c>
      <c r="D667" t="s">
        <v>254</v>
      </c>
    </row>
    <row r="668" spans="1:13">
      <c r="A668" s="24" t="s">
        <v>85</v>
      </c>
      <c r="B668" s="25">
        <v>2.75</v>
      </c>
      <c r="D668" t="s">
        <v>254</v>
      </c>
    </row>
    <row r="669" spans="1:13">
      <c r="A669" s="24" t="s">
        <v>87</v>
      </c>
      <c r="B669" s="25">
        <v>2.5</v>
      </c>
      <c r="D669" t="s">
        <v>254</v>
      </c>
    </row>
    <row r="670" spans="1:13">
      <c r="A670" s="24" t="s">
        <v>88</v>
      </c>
      <c r="B670" s="25">
        <v>2.25</v>
      </c>
      <c r="D670" t="s">
        <v>254</v>
      </c>
    </row>
    <row r="671" spans="1:13">
      <c r="A671" s="24" t="s">
        <v>266</v>
      </c>
      <c r="B671" s="25">
        <v>6</v>
      </c>
      <c r="D671" t="s">
        <v>267</v>
      </c>
    </row>
    <row r="672" spans="1:13">
      <c r="A672" s="24" t="s">
        <v>268</v>
      </c>
      <c r="B672" s="25">
        <v>-10</v>
      </c>
      <c r="D672" t="s">
        <v>269</v>
      </c>
    </row>
    <row r="673" spans="1:39" ht="14.65" thickBot="1">
      <c r="A673" s="50" t="s">
        <v>270</v>
      </c>
      <c r="B673" s="75">
        <v>-30</v>
      </c>
      <c r="D673" t="s">
        <v>271</v>
      </c>
    </row>
    <row r="674" spans="1:39" ht="14.65" thickBot="1"/>
    <row r="675" spans="1:39" ht="27" thickBot="1">
      <c r="A675" s="453" t="s">
        <v>397</v>
      </c>
      <c r="B675" s="454"/>
      <c r="C675" s="454"/>
      <c r="D675" s="454"/>
      <c r="E675" s="454"/>
      <c r="F675" s="388"/>
      <c r="G675" s="388"/>
      <c r="H675" s="389"/>
      <c r="I675" s="386"/>
      <c r="J675" s="386"/>
      <c r="K675" s="386"/>
      <c r="L675" s="386"/>
      <c r="M675" s="386"/>
      <c r="N675" s="386"/>
      <c r="O675" s="386"/>
      <c r="P675" s="386"/>
      <c r="Q675" s="386"/>
      <c r="R675" s="386"/>
      <c r="S675" s="386"/>
      <c r="T675" s="386"/>
      <c r="U675" s="386"/>
      <c r="V675" s="386"/>
      <c r="W675" s="386"/>
      <c r="X675" s="386"/>
      <c r="Y675" s="386"/>
      <c r="Z675" s="386"/>
      <c r="AA675" s="386"/>
      <c r="AB675" s="386"/>
      <c r="AC675" s="386"/>
      <c r="AD675" s="386"/>
      <c r="AE675" s="386"/>
      <c r="AF675" s="386"/>
      <c r="AG675" s="386"/>
      <c r="AH675" s="386"/>
      <c r="AI675" s="386"/>
      <c r="AJ675" s="386"/>
      <c r="AK675" s="386"/>
      <c r="AL675" s="390"/>
    </row>
    <row r="676" spans="1:39" ht="14.65" thickBot="1">
      <c r="A676" s="30" t="s">
        <v>131</v>
      </c>
      <c r="C676" s="31">
        <v>46143</v>
      </c>
      <c r="D676" s="31">
        <v>46113</v>
      </c>
      <c r="E676" s="31">
        <v>46054</v>
      </c>
      <c r="F676" s="31">
        <f>+E676-1</f>
        <v>46053</v>
      </c>
      <c r="G676" s="31">
        <f>+F676-1</f>
        <v>46052</v>
      </c>
      <c r="H676" s="31">
        <f t="shared" ref="H676" si="171">+G676-1</f>
        <v>46051</v>
      </c>
      <c r="I676" s="31">
        <f t="shared" ref="I676" si="172">+H676-1</f>
        <v>46050</v>
      </c>
      <c r="J676" s="31">
        <f t="shared" ref="J676" si="173">+I676-1</f>
        <v>46049</v>
      </c>
      <c r="K676" s="31">
        <f t="shared" ref="K676" si="174">+J676-1</f>
        <v>46048</v>
      </c>
      <c r="L676" s="31">
        <f t="shared" ref="L676" si="175">+K676-1</f>
        <v>46047</v>
      </c>
      <c r="M676" s="31">
        <f t="shared" ref="M676" si="176">+L676-1</f>
        <v>46046</v>
      </c>
      <c r="N676" s="31">
        <f t="shared" ref="N676" si="177">+M676-1</f>
        <v>46045</v>
      </c>
      <c r="O676" s="31">
        <f t="shared" ref="O676" si="178">+N676-1</f>
        <v>46044</v>
      </c>
      <c r="P676" s="31">
        <f t="shared" ref="P676" si="179">+O676-1</f>
        <v>46043</v>
      </c>
      <c r="Q676" s="31">
        <f t="shared" ref="Q676" si="180">+P676-1</f>
        <v>46042</v>
      </c>
      <c r="R676" s="31">
        <f t="shared" ref="R676" si="181">+Q676-1</f>
        <v>46041</v>
      </c>
      <c r="S676" s="31">
        <f t="shared" ref="S676" si="182">+R676-1</f>
        <v>46040</v>
      </c>
      <c r="T676" s="31">
        <f t="shared" ref="T676" si="183">+S676-1</f>
        <v>46039</v>
      </c>
      <c r="U676" s="31">
        <f t="shared" ref="U676" si="184">+T676-1</f>
        <v>46038</v>
      </c>
      <c r="V676" s="31">
        <f t="shared" ref="V676" si="185">+U676-1</f>
        <v>46037</v>
      </c>
      <c r="W676" s="31">
        <f t="shared" ref="W676" si="186">+V676-1</f>
        <v>46036</v>
      </c>
      <c r="X676" s="31">
        <f t="shared" ref="X676" si="187">+W676-1</f>
        <v>46035</v>
      </c>
      <c r="Y676" s="31">
        <f t="shared" ref="Y676" si="188">+X676-1</f>
        <v>46034</v>
      </c>
      <c r="Z676" s="31">
        <f t="shared" ref="Z676" si="189">+Y676-1</f>
        <v>46033</v>
      </c>
      <c r="AA676" s="31">
        <f t="shared" ref="AA676" si="190">+Z676-1</f>
        <v>46032</v>
      </c>
      <c r="AB676" s="31">
        <f t="shared" ref="AB676" si="191">+AA676-1</f>
        <v>46031</v>
      </c>
      <c r="AC676" s="31">
        <f t="shared" ref="AC676" si="192">+AB676-1</f>
        <v>46030</v>
      </c>
      <c r="AD676" s="31">
        <f t="shared" ref="AD676" si="193">+AC676-1</f>
        <v>46029</v>
      </c>
      <c r="AE676" s="31">
        <f t="shared" ref="AE676" si="194">+AD676-1</f>
        <v>46028</v>
      </c>
      <c r="AF676" s="31">
        <f t="shared" ref="AF676" si="195">+AE676-1</f>
        <v>46027</v>
      </c>
      <c r="AG676" s="31">
        <f t="shared" ref="AG676" si="196">+AF676-1</f>
        <v>46026</v>
      </c>
      <c r="AH676" s="31">
        <f t="shared" ref="AH676" si="197">+AG676-1</f>
        <v>46025</v>
      </c>
      <c r="AI676" s="31">
        <f t="shared" ref="AI676" si="198">+AH676-1</f>
        <v>46024</v>
      </c>
      <c r="AJ676" s="31">
        <f t="shared" ref="AJ676" si="199">+AI676-1</f>
        <v>46023</v>
      </c>
      <c r="AK676" s="31">
        <f t="shared" ref="AK676" si="200">+AJ676-1</f>
        <v>46022</v>
      </c>
      <c r="AL676" s="31">
        <f t="shared" ref="AL676" si="201">+AK676-1</f>
        <v>46021</v>
      </c>
    </row>
    <row r="677" spans="1:39" ht="14.65" thickBot="1">
      <c r="A677" s="32" t="s">
        <v>132</v>
      </c>
      <c r="C677" s="33">
        <v>1</v>
      </c>
      <c r="D677" s="34">
        <v>2</v>
      </c>
      <c r="E677" s="34">
        <v>3</v>
      </c>
      <c r="F677" s="34">
        <v>4</v>
      </c>
      <c r="G677" s="34">
        <v>5</v>
      </c>
      <c r="H677" s="34">
        <v>6</v>
      </c>
      <c r="I677" s="34">
        <v>7</v>
      </c>
      <c r="J677" s="34">
        <v>8</v>
      </c>
      <c r="K677" s="34">
        <v>9</v>
      </c>
      <c r="L677" s="34">
        <v>10</v>
      </c>
      <c r="M677" s="34">
        <v>11</v>
      </c>
      <c r="N677" s="34">
        <v>12</v>
      </c>
      <c r="O677" s="34">
        <v>13</v>
      </c>
      <c r="P677" s="34">
        <v>14</v>
      </c>
      <c r="Q677" s="34">
        <v>15</v>
      </c>
      <c r="R677" s="34">
        <v>16</v>
      </c>
      <c r="S677" s="34">
        <v>17</v>
      </c>
      <c r="T677" s="34">
        <v>18</v>
      </c>
      <c r="U677" s="34">
        <v>19</v>
      </c>
      <c r="V677" s="34">
        <v>20</v>
      </c>
      <c r="W677" s="34">
        <v>21</v>
      </c>
      <c r="X677" s="34">
        <v>22</v>
      </c>
      <c r="Y677" s="34">
        <v>23</v>
      </c>
      <c r="Z677" s="34">
        <v>24</v>
      </c>
      <c r="AA677" s="34">
        <v>25</v>
      </c>
      <c r="AB677" s="34">
        <v>26</v>
      </c>
      <c r="AC677" s="34">
        <v>27</v>
      </c>
      <c r="AD677" s="34">
        <v>28</v>
      </c>
      <c r="AE677" s="34">
        <v>29</v>
      </c>
      <c r="AF677" s="34">
        <v>30</v>
      </c>
      <c r="AG677" s="34">
        <v>31</v>
      </c>
      <c r="AH677" s="34">
        <v>32</v>
      </c>
      <c r="AI677" s="34">
        <v>33</v>
      </c>
      <c r="AJ677" s="34">
        <v>34</v>
      </c>
      <c r="AK677" s="34">
        <v>35</v>
      </c>
      <c r="AL677" s="35">
        <v>36</v>
      </c>
      <c r="AM677">
        <v>37</v>
      </c>
    </row>
    <row r="678" spans="1:39" ht="14.25" customHeight="1">
      <c r="A678" s="36" t="s">
        <v>133</v>
      </c>
      <c r="B678" s="418" t="s">
        <v>134</v>
      </c>
      <c r="C678" s="37">
        <v>197859.6</v>
      </c>
      <c r="D678" s="37">
        <v>2028982.05</v>
      </c>
      <c r="E678" s="37">
        <v>531708.99</v>
      </c>
      <c r="F678" s="37">
        <v>106646.24</v>
      </c>
      <c r="G678" s="37">
        <v>284704.83</v>
      </c>
      <c r="H678" s="37">
        <v>212788.36</v>
      </c>
      <c r="I678" s="37">
        <v>1511697.74</v>
      </c>
      <c r="J678" s="37">
        <v>1895063.6</v>
      </c>
      <c r="K678" s="37">
        <v>56568.85</v>
      </c>
      <c r="L678" s="37">
        <v>55435.16</v>
      </c>
      <c r="M678" s="37">
        <v>94463.13</v>
      </c>
      <c r="N678" s="37">
        <v>232997.24</v>
      </c>
      <c r="O678" s="37">
        <v>860782.38</v>
      </c>
      <c r="P678" s="37">
        <v>37252.050000000003</v>
      </c>
      <c r="Q678" s="37">
        <v>63535.5</v>
      </c>
      <c r="R678" s="37">
        <v>282714.33</v>
      </c>
      <c r="S678" s="37">
        <v>37741.64</v>
      </c>
      <c r="T678" s="37">
        <v>61170.67</v>
      </c>
      <c r="U678" s="37">
        <v>1032398.47</v>
      </c>
      <c r="V678" s="37">
        <v>60724.29</v>
      </c>
      <c r="W678" s="37">
        <v>99900</v>
      </c>
      <c r="X678" s="37">
        <v>286686</v>
      </c>
      <c r="Y678" s="37">
        <v>577243.74</v>
      </c>
      <c r="Z678" s="37">
        <v>34000</v>
      </c>
      <c r="AA678" s="37">
        <v>1478019.7</v>
      </c>
      <c r="AB678" s="37">
        <v>26040</v>
      </c>
      <c r="AC678" s="37">
        <v>831754.5</v>
      </c>
      <c r="AD678" s="37">
        <v>15456.38</v>
      </c>
      <c r="AE678" s="37">
        <v>45479.17</v>
      </c>
      <c r="AF678" s="37">
        <v>16745.669999999998</v>
      </c>
      <c r="AG678" s="37">
        <v>1101337.5</v>
      </c>
      <c r="AH678" s="37">
        <v>16509.75</v>
      </c>
      <c r="AI678" s="37">
        <v>16276.91</v>
      </c>
      <c r="AJ678" s="37">
        <v>17305.5</v>
      </c>
      <c r="AK678" s="37">
        <v>837911.25</v>
      </c>
      <c r="AL678" s="37">
        <v>32678.78</v>
      </c>
    </row>
    <row r="679" spans="1:39">
      <c r="A679" s="36" t="s">
        <v>135</v>
      </c>
      <c r="B679" s="419"/>
      <c r="C679" s="39">
        <v>1667546.86</v>
      </c>
      <c r="D679" s="39">
        <v>449850.29</v>
      </c>
      <c r="E679" s="39">
        <v>627220.6</v>
      </c>
      <c r="F679" s="39">
        <v>185434.96</v>
      </c>
      <c r="G679" s="39">
        <v>134437.48000000001</v>
      </c>
      <c r="H679" s="39">
        <v>221758.91</v>
      </c>
      <c r="I679" s="39">
        <v>2895563.21</v>
      </c>
      <c r="J679" s="39">
        <v>175220.83</v>
      </c>
      <c r="K679" s="39">
        <v>160438.07</v>
      </c>
      <c r="L679" s="39">
        <v>480869.67</v>
      </c>
      <c r="M679" s="39">
        <v>703081.5</v>
      </c>
      <c r="N679" s="39">
        <v>185873.13</v>
      </c>
      <c r="O679" s="39">
        <v>101866.01</v>
      </c>
      <c r="P679" s="39">
        <v>308356.84999999998</v>
      </c>
      <c r="Q679" s="39">
        <v>87257.03</v>
      </c>
      <c r="R679" s="39">
        <v>151680.97</v>
      </c>
      <c r="S679" s="39">
        <v>122187.87</v>
      </c>
      <c r="T679" s="39">
        <v>944746.7</v>
      </c>
      <c r="U679" s="39">
        <v>88372.79</v>
      </c>
      <c r="V679" s="39">
        <v>67308.53</v>
      </c>
      <c r="W679" s="39">
        <v>677521.1</v>
      </c>
      <c r="X679" s="39">
        <v>33773.410000000003</v>
      </c>
      <c r="Y679" s="39">
        <v>96959.55</v>
      </c>
      <c r="Z679" s="39">
        <v>1462416.42</v>
      </c>
      <c r="AA679" s="39">
        <v>758310.87</v>
      </c>
      <c r="AB679" s="39">
        <v>116181.37</v>
      </c>
      <c r="AC679" s="39">
        <v>71571.7</v>
      </c>
      <c r="AD679" s="39">
        <v>103131.52</v>
      </c>
      <c r="AE679" s="39">
        <v>919792.91</v>
      </c>
      <c r="AF679" s="39">
        <v>142362.82999999999</v>
      </c>
      <c r="AG679" s="39">
        <v>958392.31999999995</v>
      </c>
      <c r="AH679" s="39">
        <v>725657.95</v>
      </c>
      <c r="AI679" s="39">
        <v>63515.57</v>
      </c>
      <c r="AJ679" s="39">
        <v>134799.09</v>
      </c>
      <c r="AK679" s="39">
        <v>471229.33</v>
      </c>
      <c r="AL679" s="39">
        <v>108472.41</v>
      </c>
    </row>
    <row r="680" spans="1:39">
      <c r="A680" s="36" t="s">
        <v>136</v>
      </c>
      <c r="B680" s="419"/>
      <c r="C680" s="39">
        <v>103634.3</v>
      </c>
      <c r="D680" s="39">
        <v>48514.7</v>
      </c>
      <c r="E680" s="39">
        <v>-73334.34</v>
      </c>
      <c r="F680" s="39">
        <v>-119675.17</v>
      </c>
      <c r="G680" s="39">
        <v>-77403.22</v>
      </c>
      <c r="H680" s="39">
        <v>277390</v>
      </c>
      <c r="I680" s="39">
        <v>242111.8</v>
      </c>
      <c r="J680" s="39">
        <v>-71066.5</v>
      </c>
      <c r="K680" s="39">
        <v>-65227.16</v>
      </c>
      <c r="L680" s="39">
        <v>-28834.53</v>
      </c>
      <c r="M680" s="39">
        <v>42653.74</v>
      </c>
      <c r="N680" s="39">
        <v>-34730.43</v>
      </c>
      <c r="O680" s="39">
        <v>-24440.82</v>
      </c>
      <c r="P680" s="39">
        <v>35776.620000000003</v>
      </c>
      <c r="Q680" s="39">
        <v>-2047.84</v>
      </c>
      <c r="R680" s="39">
        <v>-35392.75</v>
      </c>
      <c r="S680" s="39">
        <v>-15196.78</v>
      </c>
      <c r="T680" s="39">
        <v>207330.5</v>
      </c>
      <c r="U680" s="39">
        <v>-5408.37</v>
      </c>
      <c r="V680" s="39">
        <v>64410.64</v>
      </c>
      <c r="W680" s="39">
        <v>-646017.23</v>
      </c>
      <c r="X680" s="39">
        <v>-9984.4599999999991</v>
      </c>
      <c r="Y680" s="39">
        <v>-61790</v>
      </c>
      <c r="Z680" s="39">
        <v>229224.2</v>
      </c>
      <c r="AA680" s="39">
        <v>125841.96</v>
      </c>
      <c r="AB680" s="39">
        <v>-16863.53</v>
      </c>
      <c r="AC680" s="39">
        <v>-26109.53</v>
      </c>
      <c r="AD680" s="39">
        <v>-89627.89</v>
      </c>
      <c r="AE680" s="39">
        <v>382156.2</v>
      </c>
      <c r="AF680" s="39">
        <v>-122872.54</v>
      </c>
      <c r="AG680" s="39">
        <v>224692.38</v>
      </c>
      <c r="AH680" s="39">
        <v>237181.96</v>
      </c>
      <c r="AI680" s="39">
        <v>-33678.44</v>
      </c>
      <c r="AJ680" s="39">
        <v>-130299.04</v>
      </c>
      <c r="AK680" s="39">
        <v>120386.28</v>
      </c>
      <c r="AL680" s="39">
        <v>-59148.13</v>
      </c>
    </row>
    <row r="681" spans="1:39">
      <c r="A681" s="36" t="s">
        <v>137</v>
      </c>
      <c r="B681" s="419"/>
      <c r="C681" s="39">
        <v>121976.09</v>
      </c>
      <c r="D681" s="39">
        <v>0</v>
      </c>
      <c r="E681" s="39">
        <v>0</v>
      </c>
      <c r="F681" s="39">
        <v>0</v>
      </c>
      <c r="G681" s="39">
        <v>110303.03</v>
      </c>
      <c r="H681" s="39">
        <v>136412.78</v>
      </c>
      <c r="I681" s="39">
        <v>0</v>
      </c>
      <c r="J681" s="39">
        <v>0</v>
      </c>
      <c r="K681" s="39">
        <v>0</v>
      </c>
      <c r="L681" s="39">
        <v>0</v>
      </c>
      <c r="M681" s="39">
        <v>0</v>
      </c>
      <c r="N681" s="39">
        <v>0</v>
      </c>
      <c r="O681" s="39">
        <v>0</v>
      </c>
      <c r="P681" s="39">
        <v>0</v>
      </c>
      <c r="Q681" s="39">
        <v>0</v>
      </c>
      <c r="R681" s="39">
        <v>0</v>
      </c>
      <c r="S681" s="39">
        <v>0</v>
      </c>
      <c r="T681" s="39">
        <v>0</v>
      </c>
      <c r="U681" s="39">
        <v>0</v>
      </c>
      <c r="V681" s="39">
        <v>0</v>
      </c>
      <c r="W681" s="39">
        <v>0</v>
      </c>
      <c r="X681" s="39">
        <v>314244</v>
      </c>
      <c r="Y681" s="39">
        <v>628488</v>
      </c>
      <c r="Z681" s="39">
        <v>0</v>
      </c>
      <c r="AA681" s="39">
        <v>0</v>
      </c>
      <c r="AB681" s="39">
        <v>0</v>
      </c>
      <c r="AC681" s="39">
        <v>0</v>
      </c>
      <c r="AD681" s="39">
        <v>0</v>
      </c>
      <c r="AE681" s="39">
        <v>0</v>
      </c>
      <c r="AF681" s="39">
        <v>0</v>
      </c>
      <c r="AG681" s="39">
        <v>0</v>
      </c>
      <c r="AH681" s="39">
        <v>0</v>
      </c>
      <c r="AI681" s="39">
        <v>0</v>
      </c>
      <c r="AJ681" s="39">
        <v>0</v>
      </c>
      <c r="AK681" s="39">
        <v>0</v>
      </c>
      <c r="AL681" s="39">
        <v>0</v>
      </c>
    </row>
    <row r="682" spans="1:39" ht="14.65" thickBot="1">
      <c r="A682" s="44" t="s">
        <v>138</v>
      </c>
      <c r="B682" s="420"/>
      <c r="C682" s="45">
        <v>12937.48</v>
      </c>
      <c r="D682" s="45">
        <v>0</v>
      </c>
      <c r="E682" s="45">
        <v>0</v>
      </c>
      <c r="F682" s="45">
        <v>1394.72</v>
      </c>
      <c r="G682" s="45">
        <v>0</v>
      </c>
      <c r="H682" s="45">
        <v>0</v>
      </c>
      <c r="I682" s="45">
        <v>10457.36</v>
      </c>
      <c r="J682" s="45">
        <v>0</v>
      </c>
      <c r="K682" s="45">
        <v>0.06</v>
      </c>
      <c r="L682" s="45">
        <v>0</v>
      </c>
      <c r="M682" s="45">
        <v>0</v>
      </c>
      <c r="N682" s="45">
        <v>5340</v>
      </c>
      <c r="O682" s="45">
        <v>0</v>
      </c>
      <c r="P682" s="45">
        <v>19600</v>
      </c>
      <c r="Q682" s="45">
        <v>13966.4</v>
      </c>
      <c r="R682" s="45">
        <v>0</v>
      </c>
      <c r="S682" s="45">
        <v>0</v>
      </c>
      <c r="T682" s="45">
        <v>0</v>
      </c>
      <c r="U682" s="45">
        <v>0</v>
      </c>
      <c r="V682" s="45">
        <v>0</v>
      </c>
      <c r="W682" s="45">
        <v>0</v>
      </c>
      <c r="X682" s="45">
        <v>0</v>
      </c>
      <c r="Y682" s="45">
        <v>0</v>
      </c>
      <c r="Z682" s="45">
        <v>259.07</v>
      </c>
      <c r="AA682" s="45">
        <v>3.77</v>
      </c>
      <c r="AB682" s="45">
        <v>259.07</v>
      </c>
      <c r="AC682" s="45">
        <v>5800.93</v>
      </c>
      <c r="AD682" s="45">
        <v>5801.06</v>
      </c>
      <c r="AE682" s="45">
        <v>46075.199999999997</v>
      </c>
      <c r="AF682" s="45">
        <v>0</v>
      </c>
      <c r="AG682" s="45">
        <v>173089.01</v>
      </c>
      <c r="AH682" s="45">
        <v>1108.98</v>
      </c>
      <c r="AI682" s="45">
        <v>1108.8499999999999</v>
      </c>
      <c r="AJ682" s="45">
        <v>225.26</v>
      </c>
      <c r="AK682" s="45">
        <v>89</v>
      </c>
      <c r="AL682" s="45">
        <v>11600</v>
      </c>
    </row>
    <row r="683" spans="1:39" ht="14.65" thickBot="1"/>
    <row r="684" spans="1:39">
      <c r="A684" s="47" t="s">
        <v>139</v>
      </c>
      <c r="B684" s="48" t="s">
        <v>140</v>
      </c>
      <c r="C684" t="s">
        <v>141</v>
      </c>
      <c r="E684" s="455" t="s">
        <v>142</v>
      </c>
      <c r="F684" s="455"/>
      <c r="I684" s="414" t="s">
        <v>143</v>
      </c>
      <c r="J684" s="414"/>
      <c r="M684" s="415" t="s">
        <v>144</v>
      </c>
      <c r="N684" s="415"/>
    </row>
    <row r="685" spans="1:39">
      <c r="A685" s="24" t="s">
        <v>145</v>
      </c>
      <c r="B685" s="72">
        <v>0.35</v>
      </c>
      <c r="C685" s="217">
        <f>+B685*F689</f>
        <v>9.2749999999999986</v>
      </c>
      <c r="E685" s="49" t="s">
        <v>146</v>
      </c>
      <c r="F685" s="23">
        <f>IF(B741&gt;=(B742*1.5),100,IF(B741&gt;=(B742*1.3),80,IF(B741&gt;=(B742*1),50,IF(B741&gt;=(B742*0.75),30,IF(B741&gt;=(B742*0.5),15,IF(B741&gt;=(B742*0.25),10,IF(B741&gt;=(B742*0.1),0,-30)))))))</f>
        <v>10</v>
      </c>
      <c r="G685" s="7"/>
      <c r="I685" s="49" t="s">
        <v>147</v>
      </c>
      <c r="J685">
        <f>IF(B726&lt;0.02,100,IF(B726&lt;0.05,70,IF(B726&lt;0.1,40,0)))</f>
        <v>40</v>
      </c>
      <c r="M685" s="49" t="s">
        <v>148</v>
      </c>
      <c r="N685">
        <f>IF(B719&gt;=36,100,
IF(B719&gt;=24,80,
IF(B719&gt;=12,60,40)))</f>
        <v>100</v>
      </c>
    </row>
    <row r="686" spans="1:39">
      <c r="A686" s="24" t="s">
        <v>61</v>
      </c>
      <c r="B686" s="72">
        <v>0.25</v>
      </c>
      <c r="C686" s="217">
        <f>+B686*N692</f>
        <v>4.375</v>
      </c>
      <c r="E686" s="49" t="s">
        <v>149</v>
      </c>
      <c r="F686">
        <f>IF(B708&gt;0.3,100,IF(B708&gt;0.2,80,IF(B708&gt;0.15,60,IF(B708&gt;0.1,40,IF(B708&gt;0.05,20,IF(B708&gt;0,0,-20))))))</f>
        <v>0</v>
      </c>
      <c r="G686" s="7"/>
      <c r="I686" s="49" t="s">
        <v>150</v>
      </c>
      <c r="J686">
        <f>IF(B720=1,-100,100)</f>
        <v>100</v>
      </c>
      <c r="M686" s="49" t="s">
        <v>151</v>
      </c>
      <c r="N686">
        <f>IF(B718&gt;=24,100,
IF(B718&gt;=12,80,
IF(B718&gt;=6,60,40)))</f>
        <v>100</v>
      </c>
    </row>
    <row r="687" spans="1:39" ht="14.65" thickBot="1">
      <c r="A687" s="24" t="s">
        <v>152</v>
      </c>
      <c r="B687" s="72">
        <v>7.4999999999999997E-2</v>
      </c>
      <c r="C687" s="217">
        <f>+B687*J688</f>
        <v>6</v>
      </c>
      <c r="E687" s="49" t="s">
        <v>153</v>
      </c>
      <c r="F687">
        <f>IF(B711&lt;0.1,100,IF(B711&lt;0.2,70,IF(B711&lt;0.3,50,IF(B711&lt;0.4,30,IF(B711&lt;0.5,20,IF(B711&gt;0.5,0,))))))</f>
        <v>50</v>
      </c>
      <c r="G687" s="7"/>
      <c r="I687" s="49" t="s">
        <v>154</v>
      </c>
      <c r="J687">
        <f>IF(B730="NO FACHADA",100,-50)</f>
        <v>100</v>
      </c>
      <c r="M687" s="49" t="s">
        <v>155</v>
      </c>
      <c r="N687">
        <f>IF(B715&gt;0.2,100,
IF(B715&gt;0.1,80,
IF(B715&gt;0,40,IF(B715&gt;-0.05,0,-40))))</f>
        <v>-40</v>
      </c>
    </row>
    <row r="688" spans="1:39" ht="15" thickTop="1" thickBot="1">
      <c r="A688" s="24" t="s">
        <v>156</v>
      </c>
      <c r="B688" s="72">
        <v>7.4999999999999997E-2</v>
      </c>
      <c r="C688" s="217">
        <f>+B688*J694</f>
        <v>0.75</v>
      </c>
      <c r="E688" s="49" t="str">
        <f>+A744</f>
        <v>Activo VS ventas anuales</v>
      </c>
      <c r="F688">
        <f>IF(B744&lt;0.1,100,
IF(B744&lt;0.2,80,
IF(B744&lt;0.3,40,IF(B744&lt;0.5,20,IF(B744&lt;0.7,0,-40)))))</f>
        <v>100</v>
      </c>
      <c r="G688" s="7"/>
      <c r="J688" s="215">
        <f>AVERAGE(J685,J686,J687)</f>
        <v>80</v>
      </c>
      <c r="M688" s="49" t="s">
        <v>402</v>
      </c>
      <c r="N688" s="441">
        <f>+D716</f>
        <v>100</v>
      </c>
    </row>
    <row r="689" spans="1:14" ht="15" thickTop="1" thickBot="1">
      <c r="A689" s="50" t="s">
        <v>158</v>
      </c>
      <c r="B689" s="368">
        <v>0.25</v>
      </c>
      <c r="C689" s="217">
        <f>+B689*F694</f>
        <v>20.100000000000001</v>
      </c>
      <c r="D689" s="217">
        <f>+B689*G694</f>
        <v>25</v>
      </c>
      <c r="F689" s="215">
        <f>F685*0.4 + F686*0.3 + F687*0.15+F688*0.15</f>
        <v>26.5</v>
      </c>
      <c r="G689" s="7"/>
      <c r="M689" s="49" t="s">
        <v>157</v>
      </c>
      <c r="N689">
        <f>IF(B704&lt;30,100,IF(B704&lt;45,90,IF(B704&lt;60,75,IF(B704&lt;75,60,IF(B704&lt;90,40,20)))))</f>
        <v>100</v>
      </c>
    </row>
    <row r="690" spans="1:14" ht="16.149999999999999" thickBot="1">
      <c r="A690" s="377" t="s">
        <v>360</v>
      </c>
      <c r="B690" s="378">
        <f>+(C685+C686+C687+C688+C689)*10</f>
        <v>405</v>
      </c>
      <c r="I690" s="416" t="s">
        <v>160</v>
      </c>
      <c r="J690" s="416"/>
      <c r="M690" s="49" t="s">
        <v>159</v>
      </c>
      <c r="N690">
        <f>IF(AND(B705&gt;=30,B705&lt;=60),100,IF(OR(AND(B705&gt;=15,B705&lt;30),AND(B705&gt;60,B705&lt;=75)),70,20))</f>
        <v>20</v>
      </c>
    </row>
    <row r="691" spans="1:14" ht="16.149999999999999" thickBot="1">
      <c r="A691" s="44" t="s">
        <v>361</v>
      </c>
      <c r="B691" s="379">
        <f>+(C685+C686+C687+C688+D689)*10</f>
        <v>454</v>
      </c>
      <c r="C691" s="384" t="str">
        <f>IF(B691&gt;=850,"Excelente Candidato",
IF(B691&gt;=700,"Aprobación",
IF(B691&gt;=550,"Aprobar con Aval",
IF(B691&gt;=500,"Revisar con Obligado",IF(B691&gt;=400,"Solicitar Aval * Depósitos","Sugerenica Rechazo")))))</f>
        <v>Solicitar Aval * Depósitos</v>
      </c>
      <c r="E691" s="417" t="s">
        <v>161</v>
      </c>
      <c r="F691" s="417"/>
      <c r="G691" s="23" t="s">
        <v>162</v>
      </c>
      <c r="I691" s="49" t="s">
        <v>163</v>
      </c>
      <c r="J691">
        <f>IF(B722&lt;1500,100,IF(B722&lt;2000,50,IF(B722&lt;2500,25,IF(B722&lt;3500,0,IF(B722&gt;=3500,-30,)))))</f>
        <v>-30</v>
      </c>
      <c r="M691" s="49" t="str">
        <f>+A710</f>
        <v>Coeficiente Variacion Flujo</v>
      </c>
      <c r="N691">
        <f>IF(B700&lt;0,IF(B710&gt;2,-30,0),IF(B710&lt;1,100,IF(B710&lt;2,70,IF(B710&lt;3,40,IF(B710&lt;4,30,IF(B710&lt;5,0,-30))))))</f>
        <v>-30</v>
      </c>
    </row>
    <row r="692" spans="1:14" ht="15" thickTop="1" thickBot="1">
      <c r="A692" s="8" t="s">
        <v>164</v>
      </c>
      <c r="B692" s="383" t="str">
        <f>IF(B691&gt;=850,"Muy poco riesgo",
IF(B691&gt;=700,"Riesgo Bajo",
IF(B691&gt;=600,"Riesgo aceptable",
IF(B691&gt;=500,"Riesgo Medio",IF(B691&gt;=400,"Riesgo Alto","Riesgo muy Alto")))))</f>
        <v>Riesgo Alto</v>
      </c>
      <c r="C692" s="318" t="str">
        <f>+IF(B721="RECHAZAR","RECHAZAR",IF(B727="ALERTA","ALERTA","NO en listas negras"))</f>
        <v>NO en listas negras</v>
      </c>
      <c r="E692" s="49" t="s">
        <v>165</v>
      </c>
      <c r="F692">
        <f>IF(B728&gt;=330,100,IF(B728&gt;=300,80,IF(B728&gt;=270,72,IF(B728&gt;=240,68,IF(B728&gt;=220,64,IF(B728&gt;=200,40,IF(B728&gt;=180,10,IF(B728="",30,0))))))))</f>
        <v>72</v>
      </c>
      <c r="G692" s="2" t="s">
        <v>166</v>
      </c>
      <c r="I692" s="442" t="s">
        <v>403</v>
      </c>
      <c r="J692" s="23">
        <f>IF(B724&lt;0.025,100,IF(B724&lt;0.05,80,IF(B724&lt;0.075,50,IF(B724&lt;0.1,0,IF(B724&lt;0.15,-20,IF(B724&gt;0.25,-30,-40))))))</f>
        <v>-40</v>
      </c>
      <c r="N692" s="357">
        <f>(N685*0.025)+(N686*0.025)+(N687*0.3)+(N688*0.15)+(N689*0.15)+(N690*0.1)+(N691*0.25)</f>
        <v>17.5</v>
      </c>
    </row>
    <row r="693" spans="1:14" ht="15" thickTop="1" thickBot="1">
      <c r="A693" s="8" t="s">
        <v>136</v>
      </c>
      <c r="B693" s="319" t="str">
        <f>+C743</f>
        <v>AVAL</v>
      </c>
      <c r="C693" s="320" t="str">
        <f>+B730</f>
        <v>NO FACHADA</v>
      </c>
      <c r="E693" s="8" t="str">
        <f>+A706</f>
        <v>CxP / Flujo Operativo</v>
      </c>
      <c r="F693" s="23">
        <f>IF(B706&lt;=0, -30, IF(B706&lt;1, 100, IF(B706&lt;2, 70, IF(B706&lt;3, 40, IF(B706&lt;5, 30, 0)))))</f>
        <v>100</v>
      </c>
      <c r="G693" s="385">
        <f>IF(B700&lt;0, -20, IF(B706&lt;1, 100, IF(B706&lt;2, 70, IF(B706&lt;3, 40, IF(B706&lt;5, 30, 0)))))</f>
        <v>100</v>
      </c>
      <c r="I693" s="49" t="s">
        <v>168</v>
      </c>
      <c r="J693">
        <f>IF(B725&lt;0.05,100,
IF(B725&lt;0.1,80,IF(B725&lt;0.2,50,IF(B725&lt;0.4,0,-40))))</f>
        <v>100</v>
      </c>
      <c r="L693" t="s">
        <v>169</v>
      </c>
    </row>
    <row r="694" spans="1:14" ht="15" thickTop="1" thickBot="1">
      <c r="A694" s="8" t="s">
        <v>156</v>
      </c>
      <c r="B694" s="321" t="str">
        <f>+B723</f>
        <v>ALERTA CONCENTRACION</v>
      </c>
      <c r="C694" s="322" t="str">
        <f>+C740</f>
        <v>Flujo Insuficiente</v>
      </c>
      <c r="F694" s="214">
        <f>(F692*0.7)+(F693*0.3)</f>
        <v>80.400000000000006</v>
      </c>
      <c r="G694" s="214">
        <f>(G693*1)</f>
        <v>100</v>
      </c>
      <c r="J694" s="215">
        <f>AVERAGE(J691,J692,J693)</f>
        <v>10</v>
      </c>
      <c r="L694" t="s">
        <v>102</v>
      </c>
      <c r="M694" t="s">
        <v>103</v>
      </c>
    </row>
    <row r="695" spans="1:14">
      <c r="L695" t="s">
        <v>150</v>
      </c>
      <c r="M695" t="s">
        <v>170</v>
      </c>
    </row>
    <row r="696" spans="1:14" ht="21.4" thickBot="1">
      <c r="A696" s="51" t="s">
        <v>171</v>
      </c>
      <c r="B696" s="52" t="s">
        <v>172</v>
      </c>
      <c r="D696" s="53"/>
      <c r="L696" t="s">
        <v>173</v>
      </c>
      <c r="M696" t="s">
        <v>170</v>
      </c>
    </row>
    <row r="697" spans="1:14" ht="14.65" thickBot="1">
      <c r="A697" s="55" t="s">
        <v>174</v>
      </c>
      <c r="B697" s="56" t="s">
        <v>175</v>
      </c>
      <c r="C697" s="56" t="s">
        <v>176</v>
      </c>
      <c r="D697" s="56" t="s">
        <v>177</v>
      </c>
      <c r="E697" s="56" t="s">
        <v>178</v>
      </c>
      <c r="L697" t="s">
        <v>179</v>
      </c>
      <c r="M697" t="s">
        <v>170</v>
      </c>
    </row>
    <row r="698" spans="1:14">
      <c r="A698" t="s">
        <v>180</v>
      </c>
      <c r="B698" s="358">
        <f>AVERAGE(C678:N678)</f>
        <v>600742.98250000004</v>
      </c>
      <c r="C698" s="359">
        <f>AVERAGE(C678:AL678)</f>
        <v>418849.44361111108</v>
      </c>
      <c r="D698" s="2" t="str">
        <f>IF(B698/B699&gt;1.5,"Bien",IF(B698/B699&gt;1.3,"Ok",IF(B698/B699&gt;1.2,"Revisar",IF(B698/B699&gt;1.15,"Muy Bajo","Alerta"))))</f>
        <v>Alerta</v>
      </c>
      <c r="E698" s="57" t="s">
        <v>181</v>
      </c>
      <c r="L698" t="s">
        <v>182</v>
      </c>
      <c r="M698" t="s">
        <v>183</v>
      </c>
    </row>
    <row r="699" spans="1:14">
      <c r="A699" t="s">
        <v>184</v>
      </c>
      <c r="B699" s="358">
        <f>AVERAGE(C679:N679)</f>
        <v>657274.62583333335</v>
      </c>
      <c r="C699" s="359">
        <f>AVERAGE(C679:AL679)</f>
        <v>461198.90583333321</v>
      </c>
      <c r="D699" s="53" t="str">
        <f>IF(B699/B698&lt;0.6,"Bien",IF(B699/B698&lt;0.76,"Ok",IF(B699/B698&lt;0.8,"Revisar",IF(B699/B698&lt;0.89,"Riesgo","Alerta"))))</f>
        <v>Alerta</v>
      </c>
      <c r="E699" s="57" t="s">
        <v>185</v>
      </c>
      <c r="L699" t="s">
        <v>186</v>
      </c>
      <c r="M699" t="s">
        <v>183</v>
      </c>
    </row>
    <row r="700" spans="1:14">
      <c r="A700" t="s">
        <v>187</v>
      </c>
      <c r="B700" s="358">
        <f>AVERAGE(C680:N680)</f>
        <v>20336.09916666667</v>
      </c>
      <c r="C700" s="359">
        <f>AVERAGE(C680:AL680)</f>
        <v>16448.793888888893</v>
      </c>
      <c r="D700" s="53" t="str">
        <f>IF(B700/B739&gt;2,"Bien",IF(B700/B739&gt;1.5,"Ok",IF(B700/B739&gt;1.2,"Revisión","Alerta")))</f>
        <v>Revisión</v>
      </c>
      <c r="E700" s="57" t="s">
        <v>188</v>
      </c>
    </row>
    <row r="701" spans="1:14">
      <c r="A701" t="s">
        <v>189</v>
      </c>
      <c r="B701" s="359">
        <f>B700*IF(B700&gt;=0, B749, 1+(1-B749))</f>
        <v>14235.269416666668</v>
      </c>
      <c r="C701" s="359">
        <f>C700*IF(C700&gt;=0, B749, 1+(1-B749))</f>
        <v>11514.155722222224</v>
      </c>
      <c r="D701" s="2" t="str">
        <f>IF(B701/B739&gt;2,"Bien",IF(B701/B739&gt;1.5,"Ok",IF(B701/B739&gt;1.2,"Revisión","Alerta")))</f>
        <v>Alerta</v>
      </c>
      <c r="E701" s="57" t="s">
        <v>190</v>
      </c>
    </row>
    <row r="702" spans="1:14">
      <c r="A702" t="s">
        <v>191</v>
      </c>
      <c r="B702" s="358">
        <f>AVERAGE(C681:N681)</f>
        <v>30724.325000000001</v>
      </c>
      <c r="C702" s="359">
        <f>AVERAGE(C681:AL681)</f>
        <v>36428.441666666666</v>
      </c>
      <c r="E702" s="9" t="s">
        <v>192</v>
      </c>
    </row>
    <row r="703" spans="1:14">
      <c r="A703" t="s">
        <v>193</v>
      </c>
      <c r="B703" s="358">
        <f>AVERAGE(C682:N682)</f>
        <v>2510.8016666666667</v>
      </c>
      <c r="C703" s="359">
        <f>AVERAGE(C682:AL682)</f>
        <v>8586.5616666666665</v>
      </c>
      <c r="E703" s="9" t="s">
        <v>194</v>
      </c>
    </row>
    <row r="704" spans="1:14">
      <c r="A704" t="s">
        <v>195</v>
      </c>
      <c r="B704" s="360">
        <f>+(B702/B698)*30</f>
        <v>1.5343162997330559</v>
      </c>
      <c r="C704" s="360">
        <f>+(C702/C698)*30</f>
        <v>2.6091791851935247</v>
      </c>
      <c r="D704" s="10" t="str">
        <f>+IF(B704&gt;B705,"Financia a Proveedores", "Proveedores la Financian")</f>
        <v>Financia a Proveedores</v>
      </c>
      <c r="E704" s="9" t="s">
        <v>196</v>
      </c>
    </row>
    <row r="705" spans="1:9">
      <c r="A705" t="s">
        <v>197</v>
      </c>
      <c r="B705" s="360">
        <f>+(B703/B699)*30</f>
        <v>0.11460057491874043</v>
      </c>
      <c r="C705" s="360">
        <f>+(C703/C699)*30</f>
        <v>0.55853742656772398</v>
      </c>
      <c r="D705" s="10" t="str">
        <f>+IF(B705&gt;B704,"Proveedores la Financian","Financia a Proveedores")</f>
        <v>Financia a Proveedores</v>
      </c>
      <c r="E705" s="9" t="s">
        <v>196</v>
      </c>
    </row>
    <row r="706" spans="1:9">
      <c r="A706" t="s">
        <v>198</v>
      </c>
      <c r="B706" s="208">
        <f>+((B703*4.5)/(B700*12))</f>
        <v>4.6299470576113014E-2</v>
      </c>
      <c r="C706" s="208">
        <f>+(C703*4.5)/(C700*12)</f>
        <v>0.1957566400765148</v>
      </c>
      <c r="D706" s="59">
        <f>IF(B706&lt;=0,"ALERTA",(B703*4.5)/(B700*12))</f>
        <v>4.6299470576113014E-2</v>
      </c>
      <c r="E706" s="57" t="s">
        <v>346</v>
      </c>
      <c r="I706" t="s">
        <v>199</v>
      </c>
    </row>
    <row r="707" spans="1:9">
      <c r="A707" t="s">
        <v>200</v>
      </c>
      <c r="B707" s="427"/>
      <c r="C707" s="360"/>
      <c r="E707" t="s">
        <v>201</v>
      </c>
    </row>
    <row r="708" spans="1:9">
      <c r="A708" t="s">
        <v>202</v>
      </c>
      <c r="B708" s="60">
        <f>(B700/B698)</f>
        <v>3.3851580058476452E-2</v>
      </c>
      <c r="C708" s="60">
        <f>(C700/C698)</f>
        <v>3.9271375764703402E-2</v>
      </c>
      <c r="D708" s="2">
        <f>IF(B708&lt;=0,"ALERTA",(B705*4.5)/(B702*12))</f>
        <v>1.3987358744098578E-6</v>
      </c>
      <c r="E708" s="57" t="s">
        <v>203</v>
      </c>
    </row>
    <row r="709" spans="1:9">
      <c r="A709" t="s">
        <v>362</v>
      </c>
      <c r="B709" s="381">
        <f>_xlfn.STDEV.P(C680:N680)</f>
        <v>123338.19743303501</v>
      </c>
      <c r="C709" s="381">
        <f>_xlfn.STDEV.P(C680:AL680)</f>
        <v>169223.77611445528</v>
      </c>
      <c r="E709" s="57" t="s">
        <v>204</v>
      </c>
    </row>
    <row r="710" spans="1:9">
      <c r="A710" t="s">
        <v>205</v>
      </c>
      <c r="B710" s="382">
        <f>ABS(B709/B700)</f>
        <v>6.0649880010027317</v>
      </c>
      <c r="C710" s="366">
        <f>C709/C700</f>
        <v>10.287913950260231</v>
      </c>
      <c r="D710" s="57"/>
      <c r="E710" s="57" t="s">
        <v>370</v>
      </c>
    </row>
    <row r="711" spans="1:9">
      <c r="A711" t="s">
        <v>371</v>
      </c>
      <c r="B711" s="60">
        <f>(B709/B698)</f>
        <v>0.20530942686964304</v>
      </c>
      <c r="C711" s="60">
        <f>+(C709/C698)</f>
        <v>0.40402053457560372</v>
      </c>
      <c r="D711" s="2" t="str">
        <f>+IF(B711&lt;20%,"Estables",IF(B711&lt;40%,"Normal",IF(B711&gt;40%,"Volatil")))</f>
        <v>Normal</v>
      </c>
      <c r="E711" s="57" t="s">
        <v>207</v>
      </c>
    </row>
    <row r="712" spans="1:9">
      <c r="A712" t="s">
        <v>208</v>
      </c>
      <c r="B712" s="361">
        <f>COUNTIF(E678:P678,"&gt;0")</f>
        <v>12</v>
      </c>
      <c r="C712" s="362">
        <f>COUNTIF(E678:AN678,"&gt;0")</f>
        <v>34</v>
      </c>
      <c r="E712" s="57" t="s">
        <v>209</v>
      </c>
    </row>
    <row r="713" spans="1:9">
      <c r="A713" t="s">
        <v>210</v>
      </c>
      <c r="B713" s="363">
        <f>B712/12</f>
        <v>1</v>
      </c>
      <c r="C713" s="363">
        <f>C712/36</f>
        <v>0.94444444444444442</v>
      </c>
      <c r="D713" s="2" t="str">
        <f>+IF(B713&gt;90%,"Estable",IF(B713&gt;50%,"Intermitente",IF(B713&lt;50%,"Riesgoso")))</f>
        <v>Estable</v>
      </c>
      <c r="E713" s="57" t="s">
        <v>211</v>
      </c>
    </row>
    <row r="714" spans="1:9">
      <c r="A714" s="203"/>
      <c r="B714" s="204"/>
      <c r="C714" s="204"/>
      <c r="D714" s="205"/>
      <c r="E714" s="206"/>
    </row>
    <row r="715" spans="1:9">
      <c r="A715" t="s">
        <v>212</v>
      </c>
      <c r="B715" s="60">
        <f>AVERAGE(C678:H678)/AVERAGE(I678:N678)-1</f>
        <v>-0.12571691970277821</v>
      </c>
      <c r="C715" s="60">
        <f>AVERAGE(C678:T678)/AVERAGE(U678:AL678)-1</f>
        <v>0.31037383023187926</v>
      </c>
      <c r="D715" s="59" t="str">
        <f>+IF(B715&gt;15%,"Bueno",IF(B715&gt;5%,"Estable",IF(B715&gt;1%,"Bajo",IF(B715&gt;-10%,"Alerta","Deterioro"))))</f>
        <v>Deterioro</v>
      </c>
      <c r="E715" s="9" t="s">
        <v>213</v>
      </c>
    </row>
    <row r="716" spans="1:9" ht="14.65" thickBot="1">
      <c r="A716" s="23" t="s">
        <v>401</v>
      </c>
      <c r="B716" s="439">
        <f>AVERAGE(C679:H679)/AVERAGE(I679:N679)-1</f>
        <v>-0.28576049725175445</v>
      </c>
      <c r="C716" s="439">
        <f>AVERAGE(C679:T679)/AVERAGE(U679:AL679)-1</f>
        <v>0.37195813473102435</v>
      </c>
      <c r="D716" s="440">
        <f>IF(B716&gt;B715,-20,IF(B716&lt;0,100,IF(B716&lt;=B715*0.5,80,IF(B716&lt;=B715,60,30))))</f>
        <v>100</v>
      </c>
    </row>
    <row r="717" spans="1:9" ht="14.65" thickBot="1">
      <c r="A717" s="55" t="s">
        <v>214</v>
      </c>
      <c r="B717" s="61" t="s">
        <v>215</v>
      </c>
      <c r="C717" s="56" t="s">
        <v>178</v>
      </c>
      <c r="D717" s="411"/>
    </row>
    <row r="718" spans="1:9">
      <c r="A718" s="16" t="s">
        <v>216</v>
      </c>
      <c r="B718" s="62">
        <v>36</v>
      </c>
      <c r="C718" s="1" t="s">
        <v>217</v>
      </c>
    </row>
    <row r="719" spans="1:9">
      <c r="A719" s="3" t="s">
        <v>218</v>
      </c>
      <c r="B719" s="25">
        <v>36</v>
      </c>
      <c r="C719" s="1" t="s">
        <v>219</v>
      </c>
    </row>
    <row r="720" spans="1:9">
      <c r="A720" s="3" t="s">
        <v>220</v>
      </c>
      <c r="B720" s="25">
        <v>0</v>
      </c>
      <c r="C720" s="1" t="s">
        <v>221</v>
      </c>
    </row>
    <row r="721" spans="1:9">
      <c r="A721" s="3" t="s">
        <v>222</v>
      </c>
      <c r="B721" s="4" t="str">
        <f>IF(B720=1,"RECHAZAR","NO")</f>
        <v>NO</v>
      </c>
      <c r="C721" s="1" t="s">
        <v>223</v>
      </c>
    </row>
    <row r="722" spans="1:9">
      <c r="A722" s="3" t="s">
        <v>224</v>
      </c>
      <c r="B722" s="65">
        <v>5660</v>
      </c>
      <c r="C722" s="1" t="s">
        <v>225</v>
      </c>
    </row>
    <row r="723" spans="1:9">
      <c r="A723" s="3" t="s">
        <v>226</v>
      </c>
      <c r="B723" s="323" t="str">
        <f>IF(B722&gt;1500,"ALERTA CONCENTRACION","OK")</f>
        <v>ALERTA CONCENTRACION</v>
      </c>
      <c r="C723" s="1" t="s">
        <v>227</v>
      </c>
    </row>
    <row r="724" spans="1:9">
      <c r="A724" s="443" t="s">
        <v>403</v>
      </c>
      <c r="B724" s="66">
        <v>0.18</v>
      </c>
      <c r="C724" s="1" t="s">
        <v>229</v>
      </c>
    </row>
    <row r="725" spans="1:9">
      <c r="A725" s="3" t="s">
        <v>230</v>
      </c>
      <c r="B725" s="67">
        <v>0.03</v>
      </c>
      <c r="C725" s="1" t="s">
        <v>231</v>
      </c>
    </row>
    <row r="726" spans="1:9">
      <c r="A726" s="3" t="s">
        <v>232</v>
      </c>
      <c r="B726" s="67">
        <v>7.0000000000000007E-2</v>
      </c>
      <c r="C726" s="1" t="s">
        <v>233</v>
      </c>
    </row>
    <row r="727" spans="1:9">
      <c r="A727" s="3" t="s">
        <v>234</v>
      </c>
      <c r="B727" s="68" t="str">
        <f>IF(B726&gt;0.2,"ALERTA","OK")</f>
        <v>OK</v>
      </c>
      <c r="C727" s="1" t="s">
        <v>177</v>
      </c>
    </row>
    <row r="728" spans="1:9">
      <c r="A728" s="3" t="s">
        <v>235</v>
      </c>
      <c r="B728" s="69">
        <v>272</v>
      </c>
      <c r="C728" s="1" t="s">
        <v>372</v>
      </c>
      <c r="I728" t="s">
        <v>373</v>
      </c>
    </row>
    <row r="729" spans="1:9">
      <c r="A729" s="3" t="s">
        <v>236</v>
      </c>
      <c r="B729" s="68" t="str">
        <f>IF(B728&gt;175,"NO",IF(B728="","Sin Buró","RECHAZAR"))</f>
        <v>NO</v>
      </c>
      <c r="C729" s="1" t="s">
        <v>177</v>
      </c>
    </row>
    <row r="730" spans="1:9" ht="14.65" thickBot="1">
      <c r="A730" s="6" t="s">
        <v>237</v>
      </c>
      <c r="B730" s="380" t="str">
        <f>IF(AND(B726&gt;0.1, B715&gt;0.5, B722&gt;3500),"Fachada RECHAZAR","NO FACHADA")</f>
        <v>NO FACHADA</v>
      </c>
      <c r="C730" s="1" t="s">
        <v>238</v>
      </c>
    </row>
    <row r="731" spans="1:9" ht="14.65" thickBot="1">
      <c r="A731" s="3" t="s">
        <v>239</v>
      </c>
      <c r="B731" s="69">
        <v>610</v>
      </c>
    </row>
    <row r="732" spans="1:9" ht="14.65" thickBot="1">
      <c r="A732" s="412" t="s">
        <v>240</v>
      </c>
      <c r="B732" s="413"/>
      <c r="C732" s="56" t="s">
        <v>177</v>
      </c>
      <c r="D732" s="56" t="s">
        <v>178</v>
      </c>
    </row>
    <row r="733" spans="1:9">
      <c r="A733" s="16" t="s">
        <v>241</v>
      </c>
      <c r="B733" s="70">
        <f>399900+0+10894.24</f>
        <v>410794.23999999999</v>
      </c>
      <c r="D733" s="1" t="s">
        <v>242</v>
      </c>
    </row>
    <row r="734" spans="1:9">
      <c r="A734" s="3" t="s">
        <v>243</v>
      </c>
      <c r="B734" s="71">
        <v>0</v>
      </c>
      <c r="D734" s="1" t="s">
        <v>244</v>
      </c>
    </row>
    <row r="735" spans="1:9">
      <c r="A735" s="3" t="s">
        <v>245</v>
      </c>
      <c r="B735" s="71">
        <v>120659.48</v>
      </c>
      <c r="D735" s="1" t="s">
        <v>245</v>
      </c>
    </row>
    <row r="736" spans="1:9">
      <c r="A736" s="3" t="s">
        <v>246</v>
      </c>
      <c r="B736" s="251">
        <f>B733-B734</f>
        <v>410794.23999999999</v>
      </c>
      <c r="D736" s="1" t="s">
        <v>247</v>
      </c>
    </row>
    <row r="737" spans="1:13">
      <c r="A737" s="3" t="s">
        <v>248</v>
      </c>
      <c r="B737" s="25">
        <v>36</v>
      </c>
    </row>
    <row r="738" spans="1:13">
      <c r="A738" s="3" t="s">
        <v>83</v>
      </c>
      <c r="B738" s="72">
        <f>+IF(B737&lt;24,30.2%,IF(B737&lt;36,26%,IF(B737&lt;48,24.55%,IF(B737&lt;60,23.82%,"0%"))))</f>
        <v>0.2455</v>
      </c>
      <c r="D738" s="73"/>
    </row>
    <row r="739" spans="1:13">
      <c r="A739" s="3" t="s">
        <v>249</v>
      </c>
      <c r="B739" s="216">
        <f>+PMT(B738/12,B737,-B736,B735)</f>
        <v>13935.259865749571</v>
      </c>
      <c r="C739" s="2" t="str">
        <f>IF(B740/B739&gt;2,"Bien",IF(B740/B739&gt;1.5,"Ok",IF(B740/B739&gt;1.2,"Alerta","Le falta Flujo")))</f>
        <v>Le falta Flujo</v>
      </c>
      <c r="D739" s="1" t="s">
        <v>250</v>
      </c>
    </row>
    <row r="740" spans="1:13">
      <c r="A740" s="3" t="s">
        <v>189</v>
      </c>
      <c r="B740" s="216">
        <f>B701</f>
        <v>14235.269416666668</v>
      </c>
      <c r="C740" s="2" t="str">
        <f>IF(B701/B739&gt;2,"Buen Flujo",IF(B701/B739&gt;1.5,"Ok Flujo",IF(B701/B739&gt;1.1,"Flujo muy Justo","Flujo Insuficiente")))</f>
        <v>Flujo Insuficiente</v>
      </c>
      <c r="D740" s="1" t="s">
        <v>251</v>
      </c>
    </row>
    <row r="741" spans="1:13">
      <c r="A741" s="3" t="s">
        <v>252</v>
      </c>
      <c r="B741" s="364">
        <f>+(B740/B739)</f>
        <v>1.0215288092082493</v>
      </c>
      <c r="C741" s="2" t="str">
        <f>+IF(B741&gt;1.5,"Comodo",IF(B741&gt;1.1,"Aceptable",IF(B741&lt;1.1,"Rechazo")))</f>
        <v>Rechazo</v>
      </c>
      <c r="D741" t="s">
        <v>374</v>
      </c>
    </row>
    <row r="742" spans="1:13">
      <c r="A742" s="3" t="s">
        <v>253</v>
      </c>
      <c r="B742" s="289">
        <f>IF(B737&lt;=24,$B$584,IF(B737&lt;=36,$B$585,IF(B737&lt;=48,$B$586,$B$587)))</f>
        <v>2.75</v>
      </c>
      <c r="D742" t="s">
        <v>254</v>
      </c>
    </row>
    <row r="743" spans="1:13">
      <c r="A743" s="3" t="s">
        <v>255</v>
      </c>
      <c r="B743" s="365"/>
      <c r="C743" s="4" t="str">
        <f>IF(B741&gt;B742,"Suficiente",IF(B741&lt;1,"Negativo","AVAL"))</f>
        <v>AVAL</v>
      </c>
      <c r="D743" t="s">
        <v>256</v>
      </c>
    </row>
    <row r="744" spans="1:13">
      <c r="A744" s="3" t="s">
        <v>257</v>
      </c>
      <c r="B744" s="72">
        <f>+B733/SUM(D678:O678)</f>
        <v>5.2185297798859713E-2</v>
      </c>
      <c r="C744" s="2" t="str">
        <f>IF(B744&lt;0.1,"Excelente",IF(B744&lt;0.2,"Bien",IF(B744&lt;0.3,"Ok",IF(B744&lt;0.6,"Revisar",IF(B744&lt;0.9,"Alerta","Sobrepasado")))))</f>
        <v>Excelente</v>
      </c>
      <c r="D744" t="s">
        <v>375</v>
      </c>
    </row>
    <row r="745" spans="1:13">
      <c r="A745" s="3" t="s">
        <v>258</v>
      </c>
      <c r="B745" s="216">
        <f>B740/B742</f>
        <v>5176.4616060606068</v>
      </c>
      <c r="C745" s="74" t="str">
        <f>IF(B745/B739&gt;4,"Ok",IF(B745/B739&gt;2,"OK",IF((B745/B739)&gt;1.2,"Renta con Riesgo",IF(B745/B739&lt;1.1,"No Otorgar"))))</f>
        <v>No Otorgar</v>
      </c>
      <c r="D745" t="s">
        <v>259</v>
      </c>
      <c r="G745">
        <f>+B745/B739</f>
        <v>0.3714650215302725</v>
      </c>
    </row>
    <row r="746" spans="1:13" ht="14.65" thickBot="1">
      <c r="A746" s="6" t="s">
        <v>260</v>
      </c>
      <c r="B746" s="367">
        <f>IF(B740&lt;0, 0, PV(B738/12,B737,-B745))</f>
        <v>130976.00345527532</v>
      </c>
      <c r="C746" s="2" t="str">
        <f>+IF(B746/B733&gt;1,"Otorgar",IF(B746/B733&gt;0.75,"Revision","No Otorgar"))</f>
        <v>No Otorgar</v>
      </c>
      <c r="D746" t="s">
        <v>261</v>
      </c>
    </row>
    <row r="747" spans="1:13" ht="14.65" thickBot="1"/>
    <row r="748" spans="1:13">
      <c r="A748" s="47" t="s">
        <v>262</v>
      </c>
      <c r="B748" s="48" t="s">
        <v>263</v>
      </c>
    </row>
    <row r="749" spans="1:13">
      <c r="A749" s="24" t="s">
        <v>264</v>
      </c>
      <c r="B749" s="25">
        <v>0.7</v>
      </c>
      <c r="M749" t="s">
        <v>265</v>
      </c>
    </row>
    <row r="750" spans="1:13">
      <c r="A750" s="24" t="s">
        <v>80</v>
      </c>
      <c r="B750" s="25">
        <v>3</v>
      </c>
      <c r="D750" t="s">
        <v>254</v>
      </c>
    </row>
    <row r="751" spans="1:13">
      <c r="A751" s="24" t="s">
        <v>85</v>
      </c>
      <c r="B751" s="25">
        <v>2.75</v>
      </c>
      <c r="D751" t="s">
        <v>254</v>
      </c>
    </row>
    <row r="752" spans="1:13">
      <c r="A752" s="24" t="s">
        <v>87</v>
      </c>
      <c r="B752" s="25">
        <v>2.5</v>
      </c>
      <c r="D752" t="s">
        <v>254</v>
      </c>
    </row>
    <row r="753" spans="1:39">
      <c r="A753" s="24" t="s">
        <v>88</v>
      </c>
      <c r="B753" s="25">
        <v>2.25</v>
      </c>
      <c r="D753" t="s">
        <v>254</v>
      </c>
    </row>
    <row r="754" spans="1:39">
      <c r="A754" s="24" t="s">
        <v>266</v>
      </c>
      <c r="B754" s="25">
        <v>6</v>
      </c>
      <c r="D754" t="s">
        <v>267</v>
      </c>
    </row>
    <row r="755" spans="1:39">
      <c r="A755" s="24" t="s">
        <v>268</v>
      </c>
      <c r="B755" s="25">
        <v>-10</v>
      </c>
      <c r="D755" t="s">
        <v>269</v>
      </c>
    </row>
    <row r="756" spans="1:39" ht="14.65" thickBot="1">
      <c r="A756" s="50" t="s">
        <v>270</v>
      </c>
      <c r="B756" s="75">
        <v>-30</v>
      </c>
      <c r="D756" t="s">
        <v>271</v>
      </c>
    </row>
    <row r="757" spans="1:39">
      <c r="A757" s="47"/>
      <c r="B757" s="48"/>
    </row>
    <row r="758" spans="1:39" ht="14.65" thickBot="1"/>
    <row r="759" spans="1:39" ht="27" thickBot="1">
      <c r="A759" s="453" t="s">
        <v>396</v>
      </c>
      <c r="B759" s="454"/>
      <c r="C759" s="454"/>
      <c r="D759" s="454"/>
      <c r="E759" s="454"/>
      <c r="F759" s="388"/>
      <c r="G759" s="388"/>
      <c r="H759" s="389"/>
      <c r="I759" s="386"/>
      <c r="J759" s="386"/>
      <c r="K759" s="386"/>
      <c r="L759" s="386"/>
      <c r="M759" s="386"/>
      <c r="N759" s="386"/>
      <c r="O759" s="386"/>
      <c r="P759" s="386"/>
      <c r="Q759" s="386"/>
      <c r="R759" s="386"/>
      <c r="S759" s="386"/>
      <c r="T759" s="386"/>
      <c r="U759" s="386"/>
      <c r="V759" s="386"/>
      <c r="W759" s="386"/>
      <c r="X759" s="386"/>
      <c r="Y759" s="386"/>
      <c r="Z759" s="386"/>
      <c r="AA759" s="386"/>
      <c r="AB759" s="386"/>
      <c r="AC759" s="386"/>
      <c r="AD759" s="386"/>
      <c r="AE759" s="386"/>
      <c r="AF759" s="386"/>
      <c r="AG759" s="386"/>
      <c r="AH759" s="386"/>
      <c r="AI759" s="386"/>
      <c r="AJ759" s="386"/>
      <c r="AK759" s="386"/>
      <c r="AL759" s="390"/>
    </row>
    <row r="760" spans="1:39" ht="14.65" thickBot="1">
      <c r="A760" s="30" t="s">
        <v>131</v>
      </c>
      <c r="C760" s="31">
        <v>46143</v>
      </c>
      <c r="D760" s="31">
        <v>46113</v>
      </c>
      <c r="E760" s="31">
        <v>46054</v>
      </c>
      <c r="F760" s="31">
        <f>+E760-1</f>
        <v>46053</v>
      </c>
      <c r="G760" s="31">
        <f>+F760-1</f>
        <v>46052</v>
      </c>
      <c r="H760" s="31">
        <f t="shared" ref="H760" si="202">+G760-1</f>
        <v>46051</v>
      </c>
      <c r="I760" s="31">
        <f t="shared" ref="I760" si="203">+H760-1</f>
        <v>46050</v>
      </c>
      <c r="J760" s="31">
        <f t="shared" ref="J760" si="204">+I760-1</f>
        <v>46049</v>
      </c>
      <c r="K760" s="31">
        <f t="shared" ref="K760" si="205">+J760-1</f>
        <v>46048</v>
      </c>
      <c r="L760" s="31">
        <f t="shared" ref="L760" si="206">+K760-1</f>
        <v>46047</v>
      </c>
      <c r="M760" s="31">
        <f t="shared" ref="M760" si="207">+L760-1</f>
        <v>46046</v>
      </c>
      <c r="N760" s="31">
        <f t="shared" ref="N760" si="208">+M760-1</f>
        <v>46045</v>
      </c>
      <c r="O760" s="31">
        <f t="shared" ref="O760" si="209">+N760-1</f>
        <v>46044</v>
      </c>
      <c r="P760" s="31">
        <f t="shared" ref="P760" si="210">+O760-1</f>
        <v>46043</v>
      </c>
      <c r="Q760" s="31">
        <f t="shared" ref="Q760" si="211">+P760-1</f>
        <v>46042</v>
      </c>
      <c r="R760" s="31">
        <f t="shared" ref="R760" si="212">+Q760-1</f>
        <v>46041</v>
      </c>
      <c r="S760" s="31">
        <f t="shared" ref="S760" si="213">+R760-1</f>
        <v>46040</v>
      </c>
      <c r="T760" s="31">
        <f t="shared" ref="T760" si="214">+S760-1</f>
        <v>46039</v>
      </c>
      <c r="U760" s="31">
        <f t="shared" ref="U760" si="215">+T760-1</f>
        <v>46038</v>
      </c>
      <c r="V760" s="31">
        <f t="shared" ref="V760" si="216">+U760-1</f>
        <v>46037</v>
      </c>
      <c r="W760" s="31">
        <f t="shared" ref="W760" si="217">+V760-1</f>
        <v>46036</v>
      </c>
      <c r="X760" s="31">
        <f t="shared" ref="X760" si="218">+W760-1</f>
        <v>46035</v>
      </c>
      <c r="Y760" s="31">
        <f t="shared" ref="Y760" si="219">+X760-1</f>
        <v>46034</v>
      </c>
      <c r="Z760" s="31">
        <f t="shared" ref="Z760" si="220">+Y760-1</f>
        <v>46033</v>
      </c>
      <c r="AA760" s="31">
        <f t="shared" ref="AA760" si="221">+Z760-1</f>
        <v>46032</v>
      </c>
      <c r="AB760" s="31">
        <f t="shared" ref="AB760" si="222">+AA760-1</f>
        <v>46031</v>
      </c>
      <c r="AC760" s="31">
        <f t="shared" ref="AC760" si="223">+AB760-1</f>
        <v>46030</v>
      </c>
      <c r="AD760" s="31">
        <f t="shared" ref="AD760" si="224">+AC760-1</f>
        <v>46029</v>
      </c>
      <c r="AE760" s="31">
        <f t="shared" ref="AE760" si="225">+AD760-1</f>
        <v>46028</v>
      </c>
      <c r="AF760" s="31">
        <f t="shared" ref="AF760" si="226">+AE760-1</f>
        <v>46027</v>
      </c>
      <c r="AG760" s="31">
        <f t="shared" ref="AG760" si="227">+AF760-1</f>
        <v>46026</v>
      </c>
      <c r="AH760" s="31">
        <f t="shared" ref="AH760" si="228">+AG760-1</f>
        <v>46025</v>
      </c>
      <c r="AI760" s="31">
        <f t="shared" ref="AI760" si="229">+AH760-1</f>
        <v>46024</v>
      </c>
      <c r="AJ760" s="31">
        <f t="shared" ref="AJ760" si="230">+AI760-1</f>
        <v>46023</v>
      </c>
      <c r="AK760" s="31">
        <f t="shared" ref="AK760" si="231">+AJ760-1</f>
        <v>46022</v>
      </c>
      <c r="AL760" s="31">
        <f t="shared" ref="AL760" si="232">+AK760-1</f>
        <v>46021</v>
      </c>
    </row>
    <row r="761" spans="1:39" ht="14.65" thickBot="1">
      <c r="A761" s="32" t="s">
        <v>132</v>
      </c>
      <c r="C761" s="33">
        <v>1</v>
      </c>
      <c r="D761" s="34">
        <v>2</v>
      </c>
      <c r="E761" s="34">
        <v>3</v>
      </c>
      <c r="F761" s="34">
        <v>4</v>
      </c>
      <c r="G761" s="34">
        <v>5</v>
      </c>
      <c r="H761" s="34">
        <v>6</v>
      </c>
      <c r="I761" s="34">
        <v>7</v>
      </c>
      <c r="J761" s="34">
        <v>8</v>
      </c>
      <c r="K761" s="34">
        <v>9</v>
      </c>
      <c r="L761" s="34">
        <v>10</v>
      </c>
      <c r="M761" s="34">
        <v>11</v>
      </c>
      <c r="N761" s="34">
        <v>12</v>
      </c>
      <c r="O761" s="34">
        <v>13</v>
      </c>
      <c r="P761" s="34">
        <v>14</v>
      </c>
      <c r="Q761" s="34">
        <v>15</v>
      </c>
      <c r="R761" s="34">
        <v>16</v>
      </c>
      <c r="S761" s="34">
        <v>17</v>
      </c>
      <c r="T761" s="34">
        <v>18</v>
      </c>
      <c r="U761" s="34">
        <v>19</v>
      </c>
      <c r="V761" s="34">
        <v>20</v>
      </c>
      <c r="W761" s="34">
        <v>21</v>
      </c>
      <c r="X761" s="34">
        <v>22</v>
      </c>
      <c r="Y761" s="34">
        <v>23</v>
      </c>
      <c r="Z761" s="34">
        <v>24</v>
      </c>
      <c r="AA761" s="34">
        <v>25</v>
      </c>
      <c r="AB761" s="34">
        <v>26</v>
      </c>
      <c r="AC761" s="34">
        <v>27</v>
      </c>
      <c r="AD761" s="34">
        <v>28</v>
      </c>
      <c r="AE761" s="34">
        <v>29</v>
      </c>
      <c r="AF761" s="34">
        <v>30</v>
      </c>
      <c r="AG761" s="34">
        <v>31</v>
      </c>
      <c r="AH761" s="34">
        <v>32</v>
      </c>
      <c r="AI761" s="34">
        <v>33</v>
      </c>
      <c r="AJ761" s="34">
        <v>34</v>
      </c>
      <c r="AK761" s="34">
        <v>35</v>
      </c>
      <c r="AL761" s="35">
        <v>36</v>
      </c>
      <c r="AM761">
        <v>37</v>
      </c>
    </row>
    <row r="762" spans="1:39" ht="14.25" customHeight="1">
      <c r="A762" s="36" t="s">
        <v>133</v>
      </c>
      <c r="B762" s="418" t="s">
        <v>134</v>
      </c>
      <c r="C762" s="37">
        <v>2617241</v>
      </c>
      <c r="D762" s="37">
        <v>6310888</v>
      </c>
      <c r="E762" s="37">
        <v>9285303</v>
      </c>
      <c r="F762" s="37">
        <v>22093859</v>
      </c>
      <c r="G762" s="37">
        <v>17585478</v>
      </c>
      <c r="H762" s="37">
        <v>11152901</v>
      </c>
      <c r="I762" s="37">
        <v>0</v>
      </c>
      <c r="J762" s="37">
        <v>8586360</v>
      </c>
      <c r="K762" s="37">
        <v>6714518</v>
      </c>
      <c r="L762" s="37">
        <v>3810656</v>
      </c>
      <c r="M762" s="37">
        <v>4081901</v>
      </c>
      <c r="N762" s="37">
        <v>2367699</v>
      </c>
      <c r="O762" s="37">
        <v>3372530</v>
      </c>
      <c r="P762" s="37">
        <v>3877334</v>
      </c>
      <c r="Q762" s="37">
        <v>862069</v>
      </c>
      <c r="R762" s="37">
        <v>7770973</v>
      </c>
      <c r="S762" s="37">
        <v>5986773</v>
      </c>
      <c r="T762" s="37">
        <v>9205768</v>
      </c>
      <c r="U762" s="37">
        <v>778132</v>
      </c>
      <c r="V762" s="37">
        <v>11041459</v>
      </c>
      <c r="W762" s="37">
        <v>16387645</v>
      </c>
      <c r="X762" s="37">
        <v>18333883</v>
      </c>
      <c r="Y762" s="37">
        <v>16081802</v>
      </c>
      <c r="Z762" s="37">
        <v>14762965</v>
      </c>
      <c r="AA762" s="37">
        <v>12235652</v>
      </c>
      <c r="AB762" s="37">
        <v>15285083</v>
      </c>
      <c r="AC762" s="37">
        <v>17138319</v>
      </c>
      <c r="AD762" s="37">
        <v>12733086</v>
      </c>
      <c r="AE762" s="37">
        <v>20454741</v>
      </c>
      <c r="AF762" s="37">
        <v>16650752</v>
      </c>
      <c r="AG762" s="37">
        <v>13918515</v>
      </c>
      <c r="AH762" s="37">
        <v>11323730</v>
      </c>
      <c r="AI762" s="37">
        <v>21216128</v>
      </c>
      <c r="AJ762" s="37">
        <v>7860042</v>
      </c>
      <c r="AK762" s="37">
        <v>9681929</v>
      </c>
      <c r="AL762" s="37">
        <v>3974129</v>
      </c>
    </row>
    <row r="763" spans="1:39">
      <c r="A763" s="36" t="s">
        <v>135</v>
      </c>
      <c r="B763" s="419"/>
      <c r="C763" s="39">
        <v>2220893</v>
      </c>
      <c r="D763" s="39">
        <v>13133221</v>
      </c>
      <c r="E763" s="39">
        <v>9601269</v>
      </c>
      <c r="F763" s="39">
        <v>21655210</v>
      </c>
      <c r="G763" s="39">
        <v>20976683</v>
      </c>
      <c r="H763" s="39">
        <v>7024937</v>
      </c>
      <c r="I763" s="39">
        <v>9573512</v>
      </c>
      <c r="J763" s="39">
        <v>7496696</v>
      </c>
      <c r="K763" s="39">
        <v>5418868</v>
      </c>
      <c r="L763" s="39">
        <v>3765958</v>
      </c>
      <c r="M763" s="39">
        <v>5026682</v>
      </c>
      <c r="N763" s="39">
        <v>3957476</v>
      </c>
      <c r="O763" s="39">
        <v>3769400</v>
      </c>
      <c r="P763" s="39">
        <v>4257882</v>
      </c>
      <c r="Q763" s="39">
        <v>3885003</v>
      </c>
      <c r="R763" s="39">
        <v>9203448</v>
      </c>
      <c r="S763" s="39">
        <v>6340931</v>
      </c>
      <c r="T763" s="39">
        <v>7018703</v>
      </c>
      <c r="U763" s="39">
        <v>8502613</v>
      </c>
      <c r="V763" s="39">
        <v>20424424</v>
      </c>
      <c r="W763" s="39">
        <v>15231110</v>
      </c>
      <c r="X763" s="39">
        <v>18833155</v>
      </c>
      <c r="Y763" s="39">
        <v>14458238</v>
      </c>
      <c r="Z763" s="39">
        <v>15612935</v>
      </c>
      <c r="AA763" s="39">
        <v>16398826</v>
      </c>
      <c r="AB763" s="39">
        <v>17321723</v>
      </c>
      <c r="AC763" s="39">
        <v>16167469</v>
      </c>
      <c r="AD763" s="39">
        <v>16408370</v>
      </c>
      <c r="AE763" s="39">
        <v>22901606</v>
      </c>
      <c r="AF763" s="39">
        <v>14862087</v>
      </c>
      <c r="AG763" s="39">
        <v>18681487</v>
      </c>
      <c r="AH763" s="39">
        <v>15415502</v>
      </c>
      <c r="AI763" s="39">
        <v>22702839</v>
      </c>
      <c r="AJ763" s="39">
        <v>6517775</v>
      </c>
      <c r="AK763" s="39">
        <v>10507516</v>
      </c>
      <c r="AL763" s="39">
        <v>7754914</v>
      </c>
    </row>
    <row r="764" spans="1:39">
      <c r="A764" s="36" t="s">
        <v>136</v>
      </c>
      <c r="B764" s="419"/>
      <c r="C764" s="39">
        <v>396348</v>
      </c>
      <c r="D764" s="39">
        <v>-8187317</v>
      </c>
      <c r="E764" s="39">
        <v>-12816493</v>
      </c>
      <c r="F764" s="39">
        <v>-20522260</v>
      </c>
      <c r="G764" s="39">
        <v>-17317422</v>
      </c>
      <c r="H764" s="39">
        <v>-7410355</v>
      </c>
      <c r="I764" s="39">
        <v>-11586614</v>
      </c>
      <c r="J764" s="39">
        <v>-2495619</v>
      </c>
      <c r="K764" s="39">
        <v>-464686</v>
      </c>
      <c r="L764" s="39">
        <v>3284979</v>
      </c>
      <c r="M764" s="39">
        <v>-1079489</v>
      </c>
      <c r="N764" s="39">
        <v>-1259326</v>
      </c>
      <c r="O764" s="39">
        <v>333372</v>
      </c>
      <c r="P764" s="39">
        <v>855273</v>
      </c>
      <c r="Q764" s="39">
        <v>-3700761</v>
      </c>
      <c r="R764" s="39">
        <v>-1534779</v>
      </c>
      <c r="S764" s="39">
        <v>-11925516</v>
      </c>
      <c r="T764" s="39">
        <v>-1708285</v>
      </c>
      <c r="U764" s="39">
        <v>-6875879</v>
      </c>
      <c r="V764" s="39">
        <v>-15248852</v>
      </c>
      <c r="W764" s="39">
        <v>-11680860</v>
      </c>
      <c r="X764" s="39">
        <v>-14782003</v>
      </c>
      <c r="Y764" s="39">
        <v>2701188</v>
      </c>
      <c r="Z764" s="39">
        <v>2043708</v>
      </c>
      <c r="AA764" s="39">
        <v>2524718</v>
      </c>
      <c r="AB764" s="39">
        <v>-1447136</v>
      </c>
      <c r="AC764" s="39">
        <v>4471784</v>
      </c>
      <c r="AD764" s="39">
        <v>6696</v>
      </c>
      <c r="AE764" s="39">
        <v>1194422</v>
      </c>
      <c r="AF764" s="39">
        <v>4222468</v>
      </c>
      <c r="AG764" s="39">
        <v>1729548</v>
      </c>
      <c r="AH764" s="39">
        <v>-186549</v>
      </c>
      <c r="AI764" s="39">
        <v>7401038</v>
      </c>
      <c r="AJ764" s="39">
        <v>1562464</v>
      </c>
      <c r="AK764" s="39">
        <v>3171789</v>
      </c>
      <c r="AL764" s="39">
        <v>656923</v>
      </c>
    </row>
    <row r="765" spans="1:39">
      <c r="A765" s="36" t="s">
        <v>137</v>
      </c>
      <c r="B765" s="419"/>
      <c r="C765" s="39">
        <v>3036000</v>
      </c>
      <c r="D765" s="39">
        <v>7320630</v>
      </c>
      <c r="E765" s="39">
        <v>10613452</v>
      </c>
      <c r="F765" s="39">
        <v>25628876</v>
      </c>
      <c r="G765" s="39">
        <v>20079424</v>
      </c>
      <c r="H765" s="39">
        <v>12937364</v>
      </c>
      <c r="I765" s="39">
        <v>0</v>
      </c>
      <c r="J765" s="39">
        <v>5516826</v>
      </c>
      <c r="K765" s="39">
        <v>3827701</v>
      </c>
      <c r="L765" s="39">
        <v>500000</v>
      </c>
      <c r="M765" s="39">
        <v>0</v>
      </c>
      <c r="N765" s="39">
        <v>0</v>
      </c>
      <c r="O765" s="39">
        <v>0</v>
      </c>
      <c r="P765" s="39">
        <v>135014</v>
      </c>
      <c r="Q765" s="39">
        <v>0</v>
      </c>
      <c r="R765" s="39">
        <v>696102</v>
      </c>
      <c r="S765" s="39">
        <v>6568566</v>
      </c>
      <c r="T765" s="39">
        <v>270000</v>
      </c>
      <c r="U765" s="39">
        <v>0</v>
      </c>
      <c r="V765" s="39">
        <v>12808092</v>
      </c>
      <c r="W765" s="39">
        <v>14882163</v>
      </c>
      <c r="X765" s="39">
        <v>20117517</v>
      </c>
      <c r="Y765" s="39">
        <v>2681756</v>
      </c>
      <c r="Z765" s="39">
        <v>0</v>
      </c>
      <c r="AA765" s="39">
        <v>7096675</v>
      </c>
      <c r="AB765" s="39">
        <v>268919</v>
      </c>
      <c r="AC765" s="39">
        <v>427983</v>
      </c>
      <c r="AD765" s="39">
        <v>0</v>
      </c>
      <c r="AE765" s="39">
        <v>0</v>
      </c>
      <c r="AF765" s="39">
        <v>0</v>
      </c>
      <c r="AG765" s="39">
        <v>1549672</v>
      </c>
      <c r="AH765" s="39">
        <v>0</v>
      </c>
      <c r="AI765" s="39">
        <v>150000</v>
      </c>
      <c r="AJ765" s="39">
        <v>1250000</v>
      </c>
      <c r="AK765" s="39">
        <v>0</v>
      </c>
      <c r="AL765" s="39">
        <v>0</v>
      </c>
    </row>
    <row r="766" spans="1:39" ht="14.65" thickBot="1">
      <c r="A766" s="44" t="s">
        <v>138</v>
      </c>
      <c r="B766" s="420"/>
      <c r="C766" s="45">
        <v>6962281</v>
      </c>
      <c r="D766" s="45">
        <v>6962281</v>
      </c>
      <c r="E766" s="45">
        <v>1743608</v>
      </c>
      <c r="F766" s="45">
        <v>2128682</v>
      </c>
      <c r="G766" s="45">
        <v>347264</v>
      </c>
      <c r="H766" s="45">
        <v>267981</v>
      </c>
      <c r="I766" s="45">
        <v>88154</v>
      </c>
      <c r="J766" s="45">
        <v>79283</v>
      </c>
      <c r="K766" s="45">
        <v>87950</v>
      </c>
      <c r="L766" s="45">
        <v>67592</v>
      </c>
      <c r="M766" s="45">
        <v>79031</v>
      </c>
      <c r="N766" s="45">
        <v>66610</v>
      </c>
      <c r="O766" s="45">
        <v>78302</v>
      </c>
      <c r="P766" s="45">
        <v>68837</v>
      </c>
      <c r="Q766" s="45">
        <v>27274</v>
      </c>
      <c r="R766" s="45">
        <v>5723</v>
      </c>
      <c r="S766" s="45">
        <v>5464</v>
      </c>
      <c r="T766" s="45">
        <v>10164</v>
      </c>
      <c r="U766" s="45">
        <v>29648</v>
      </c>
      <c r="V766" s="45">
        <v>22377</v>
      </c>
      <c r="W766" s="45">
        <v>8551</v>
      </c>
      <c r="X766" s="45">
        <v>84893</v>
      </c>
      <c r="Y766" s="45">
        <v>138020</v>
      </c>
      <c r="Z766" s="45">
        <v>52226</v>
      </c>
      <c r="AA766" s="45">
        <v>13952</v>
      </c>
      <c r="AB766" s="45">
        <v>14350</v>
      </c>
      <c r="AC766" s="45">
        <v>103240</v>
      </c>
      <c r="AD766" s="45">
        <v>108742</v>
      </c>
      <c r="AE766" s="45">
        <v>0</v>
      </c>
      <c r="AF766" s="45">
        <v>69198</v>
      </c>
      <c r="AG766" s="45">
        <v>11498</v>
      </c>
      <c r="AH766" s="45">
        <v>51117</v>
      </c>
      <c r="AI766" s="45">
        <v>78513</v>
      </c>
      <c r="AJ766" s="45">
        <v>269506</v>
      </c>
      <c r="AK766" s="45">
        <v>33337</v>
      </c>
      <c r="AL766" s="45">
        <v>69833</v>
      </c>
    </row>
    <row r="767" spans="1:39" ht="14.65" thickBot="1"/>
    <row r="768" spans="1:39">
      <c r="A768" s="47" t="s">
        <v>139</v>
      </c>
      <c r="B768" s="48" t="s">
        <v>140</v>
      </c>
      <c r="C768" t="s">
        <v>141</v>
      </c>
      <c r="E768" s="455" t="s">
        <v>142</v>
      </c>
      <c r="F768" s="455"/>
      <c r="I768" s="414" t="s">
        <v>143</v>
      </c>
      <c r="J768" s="414"/>
      <c r="M768" s="415" t="s">
        <v>144</v>
      </c>
      <c r="N768" s="415"/>
    </row>
    <row r="769" spans="1:14">
      <c r="A769" s="24" t="s">
        <v>145</v>
      </c>
      <c r="B769" s="72">
        <v>0.35</v>
      </c>
      <c r="C769" s="217">
        <f>+B769*F773</f>
        <v>-1.0499999999999998</v>
      </c>
      <c r="E769" s="49" t="s">
        <v>146</v>
      </c>
      <c r="F769" s="23">
        <f>IF(B825&gt;=(B826*1.5),100,IF(B825&gt;=(B826*1.3),80,IF(B825&gt;=(B826*1),50,IF(B825&gt;=(B826*0.75),30,IF(B825&gt;=(B826*0.5),15,IF(B825&gt;=(B826*0.25),10,IF(B825&gt;=(B826*0.1),0,-30)))))))</f>
        <v>-30</v>
      </c>
      <c r="G769" s="7"/>
      <c r="I769" s="49" t="s">
        <v>147</v>
      </c>
      <c r="J769">
        <f>IF(B810&lt;0.02,100,IF(B810&lt;0.05,70,IF(B810&lt;0.1,40,0)))</f>
        <v>0</v>
      </c>
      <c r="M769" s="49" t="s">
        <v>148</v>
      </c>
      <c r="N769">
        <f>IF(B803&gt;=36,100,
IF(B803&gt;=24,80,
IF(B803&gt;=12,60,40)))</f>
        <v>100</v>
      </c>
    </row>
    <row r="770" spans="1:14">
      <c r="A770" s="24" t="s">
        <v>61</v>
      </c>
      <c r="B770" s="72">
        <v>0.25</v>
      </c>
      <c r="C770" s="217">
        <f>+B770*N776</f>
        <v>15.25</v>
      </c>
      <c r="E770" s="49" t="s">
        <v>149</v>
      </c>
      <c r="F770">
        <f>IF(B792&gt;0.3,100,IF(B792&gt;0.2,80,IF(B792&gt;0.15,60,IF(B792&gt;0.1,40,IF(B792&gt;0.05,20,IF(B792&gt;0,0,-20))))))</f>
        <v>-20</v>
      </c>
      <c r="G770" s="7"/>
      <c r="I770" s="49" t="s">
        <v>150</v>
      </c>
      <c r="J770">
        <f>IF(B804=1,-100,100)</f>
        <v>100</v>
      </c>
      <c r="M770" s="49" t="s">
        <v>151</v>
      </c>
      <c r="N770">
        <f>IF(B802&gt;=24,100,
IF(B802&gt;=12,80,
IF(B802&gt;=6,60,40)))</f>
        <v>100</v>
      </c>
    </row>
    <row r="771" spans="1:14" ht="14.65" thickBot="1">
      <c r="A771" s="24" t="s">
        <v>152</v>
      </c>
      <c r="B771" s="72">
        <v>7.4999999999999997E-2</v>
      </c>
      <c r="C771" s="217">
        <f>+B771*J772</f>
        <v>5</v>
      </c>
      <c r="E771" s="49" t="s">
        <v>153</v>
      </c>
      <c r="F771">
        <f>IF(B795&lt;0.1,100,IF(B795&lt;0.2,70,IF(B795&lt;0.3,50,IF(B795&lt;0.4,30,IF(B795&lt;0.5,20,IF(B795&gt;0.5,0,))))))</f>
        <v>0</v>
      </c>
      <c r="G771" s="7"/>
      <c r="I771" s="49" t="s">
        <v>154</v>
      </c>
      <c r="J771">
        <f>IF(B814="NO FACHADA",100,-50)</f>
        <v>100</v>
      </c>
      <c r="M771" s="49" t="s">
        <v>155</v>
      </c>
      <c r="N771">
        <f>IF(B799&gt;0.2,100,
IF(B799&gt;0.1,80,
IF(B799&gt;0,40,IF(B799&gt;-0.05,0,-40))))</f>
        <v>100</v>
      </c>
    </row>
    <row r="772" spans="1:14" ht="15" thickTop="1" thickBot="1">
      <c r="A772" s="24" t="s">
        <v>156</v>
      </c>
      <c r="B772" s="72">
        <v>7.4999999999999997E-2</v>
      </c>
      <c r="C772" s="217">
        <f>+B772*J778</f>
        <v>4</v>
      </c>
      <c r="E772" s="49" t="str">
        <f>+A828</f>
        <v>Activo VS ventas anuales</v>
      </c>
      <c r="F772">
        <f>IF(B828&lt;0.1,100,
IF(B828&lt;0.2,80,
IF(B828&lt;0.3,40,IF(B828&lt;0.5,20,IF(B828&lt;0.7,0,-40)))))</f>
        <v>100</v>
      </c>
      <c r="G772" s="7"/>
      <c r="J772" s="215">
        <f>AVERAGE(J769,J770,J771)</f>
        <v>66.666666666666671</v>
      </c>
      <c r="M772" s="49" t="s">
        <v>402</v>
      </c>
      <c r="N772" s="441">
        <f>+D800</f>
        <v>60</v>
      </c>
    </row>
    <row r="773" spans="1:14" ht="15" thickTop="1" thickBot="1">
      <c r="A773" s="50" t="s">
        <v>158</v>
      </c>
      <c r="B773" s="368">
        <v>0.25</v>
      </c>
      <c r="C773" s="217">
        <f>+B773*F778</f>
        <v>9.6499999999999986</v>
      </c>
      <c r="D773" s="217">
        <f>+B773*G778</f>
        <v>-5</v>
      </c>
      <c r="F773" s="215">
        <f>F769*0.4 + F770*0.3 + F771*0.15+F772*0.15</f>
        <v>-3</v>
      </c>
      <c r="G773" s="7"/>
      <c r="M773" s="49" t="s">
        <v>157</v>
      </c>
      <c r="N773">
        <f>IF(B788&lt;30,100,IF(B788&lt;45,90,IF(B788&lt;60,75,IF(B788&lt;75,60,IF(B788&lt;90,40,20)))))</f>
        <v>100</v>
      </c>
    </row>
    <row r="774" spans="1:14" ht="16.149999999999999" thickBot="1">
      <c r="A774" s="377" t="s">
        <v>360</v>
      </c>
      <c r="B774" s="378">
        <f>+(C769+C770+C771+C772+C773)*10</f>
        <v>328.49999999999994</v>
      </c>
      <c r="I774" s="416" t="s">
        <v>160</v>
      </c>
      <c r="J774" s="416"/>
      <c r="M774" s="49" t="s">
        <v>159</v>
      </c>
      <c r="N774">
        <f>IF(AND(B789&gt;=30,B789&lt;=60),100,IF(OR(AND(B789&gt;=15,B789&lt;30),AND(B789&gt;60,B789&lt;=75)),70,20))</f>
        <v>20</v>
      </c>
    </row>
    <row r="775" spans="1:14" ht="16.149999999999999" thickBot="1">
      <c r="A775" s="44" t="s">
        <v>361</v>
      </c>
      <c r="B775" s="379">
        <f>+(C769+C770+C771+C772+D773)*10</f>
        <v>182</v>
      </c>
      <c r="C775" s="384" t="str">
        <f>IF(B775&gt;=850,"Excelente Candidato",
IF(B775&gt;=700,"Aprobación",
IF(B775&gt;=550,"Aprobar con Aval",
IF(B775&gt;=500,"Revisar con Obligado",IF(B775&gt;=400,"Solicitar Aval * Depósitos","Sugerenica Rechazo")))))</f>
        <v>Sugerenica Rechazo</v>
      </c>
      <c r="E775" s="417" t="s">
        <v>161</v>
      </c>
      <c r="F775" s="417"/>
      <c r="G775" s="23" t="s">
        <v>162</v>
      </c>
      <c r="I775" s="49" t="s">
        <v>163</v>
      </c>
      <c r="J775">
        <f>IF(B806&lt;1500,100,IF(B806&lt;2000,50,IF(B806&lt;2500,25,IF(B806&lt;3500,0,IF(B806&gt;=3500,-30,)))))</f>
        <v>100</v>
      </c>
      <c r="M775" s="49" t="str">
        <f>+A794</f>
        <v>Coeficiente Variacion Flujo</v>
      </c>
      <c r="N775">
        <f>IF(B784&lt;0,IF(B794&gt;2,-30,0),IF(B794&lt;1,100,IF(B794&lt;2,70,IF(B794&lt;3,40,IF(B794&lt;4,30,IF(B794&lt;5,0,-30))))))</f>
        <v>0</v>
      </c>
    </row>
    <row r="776" spans="1:14" ht="15" thickTop="1" thickBot="1">
      <c r="A776" s="8" t="s">
        <v>164</v>
      </c>
      <c r="B776" s="383" t="str">
        <f>IF(B775&gt;=850,"Muy poco riesgo",
IF(B775&gt;=700,"Riesgo Bajo",
IF(B775&gt;=600,"Riesgo aceptable",
IF(B775&gt;=500,"Riesgo Medio",IF(B775&gt;=400,"Riesgo Alto","Riesgo muy Alto")))))</f>
        <v>Riesgo muy Alto</v>
      </c>
      <c r="C776" s="318" t="str">
        <f>+IF(B805="RECHAZAR","RECHAZAR",IF(B811="ALERTA","ALERTA","NO en listas negras"))</f>
        <v>NO en listas negras</v>
      </c>
      <c r="E776" s="49" t="s">
        <v>165</v>
      </c>
      <c r="F776">
        <f>IF(B812&gt;=330,100,IF(B812&gt;=300,80,IF(B812&gt;=270,72,IF(B812&gt;=240,68,IF(B812&gt;=220,64,IF(B812&gt;=200,40,IF(B812&gt;=180,10,IF(B812="",30,0))))))))</f>
        <v>68</v>
      </c>
      <c r="G776" s="2" t="s">
        <v>166</v>
      </c>
      <c r="I776" s="442" t="s">
        <v>403</v>
      </c>
      <c r="J776" s="23">
        <f>IF(B808&lt;0.025,100,IF(B808&lt;0.05,80,IF(B808&lt;0.075,50,IF(B808&lt;0.1,0,IF(B808&lt;0.15,-20,IF(B808&gt;0.25,-30,-40))))))</f>
        <v>-40</v>
      </c>
      <c r="N776" s="357">
        <f>(N769*0.025)+(N770*0.025)+(N771*0.3)+(N772*0.15)+(N773*0.15)+(N774*0.1)+(N775*0.25)</f>
        <v>61</v>
      </c>
    </row>
    <row r="777" spans="1:14" ht="15" thickTop="1" thickBot="1">
      <c r="A777" s="8" t="s">
        <v>136</v>
      </c>
      <c r="B777" s="319" t="str">
        <f>+C827</f>
        <v>Negativo</v>
      </c>
      <c r="C777" s="320" t="str">
        <f>+B814</f>
        <v>NO FACHADA</v>
      </c>
      <c r="E777" s="8" t="str">
        <f>+A790</f>
        <v>CxP / Flujo Operativo</v>
      </c>
      <c r="F777" s="23">
        <f>IF(B790&lt;=0, -30, IF(B790&lt;1, 100, IF(B790&lt;2, 70, IF(B790&lt;3, 40, IF(B790&lt;5, 30, 0)))))</f>
        <v>-30</v>
      </c>
      <c r="G777" s="385">
        <f>IF(B784&lt;0, -20, IF(B790&lt;1, 100, IF(B790&lt;2, 70, IF(B790&lt;3, 40, IF(B790&lt;5, 30, 0)))))</f>
        <v>-20</v>
      </c>
      <c r="I777" s="49" t="s">
        <v>168</v>
      </c>
      <c r="J777">
        <f>IF(B809&lt;0.05,100,
IF(B809&lt;0.1,80,IF(B809&lt;0.2,50,IF(B809&lt;0.4,0,-40))))</f>
        <v>100</v>
      </c>
      <c r="L777" t="s">
        <v>169</v>
      </c>
    </row>
    <row r="778" spans="1:14" ht="15" thickTop="1" thickBot="1">
      <c r="A778" s="8" t="s">
        <v>156</v>
      </c>
      <c r="B778" s="321" t="str">
        <f>+B807</f>
        <v>OK</v>
      </c>
      <c r="C778" s="322" t="str">
        <f>+C824</f>
        <v>Flujo Insuficiente</v>
      </c>
      <c r="F778" s="214">
        <f>(F776*0.7)+(F777*0.3)</f>
        <v>38.599999999999994</v>
      </c>
      <c r="G778" s="214">
        <f>(G777*1)</f>
        <v>-20</v>
      </c>
      <c r="J778" s="215">
        <f>AVERAGE(J775,J776,J777)</f>
        <v>53.333333333333336</v>
      </c>
      <c r="L778" t="s">
        <v>102</v>
      </c>
      <c r="M778" t="s">
        <v>103</v>
      </c>
    </row>
    <row r="779" spans="1:14">
      <c r="L779" t="s">
        <v>150</v>
      </c>
      <c r="M779" t="s">
        <v>170</v>
      </c>
    </row>
    <row r="780" spans="1:14" ht="21.4" thickBot="1">
      <c r="A780" s="51" t="s">
        <v>171</v>
      </c>
      <c r="B780" s="52" t="s">
        <v>172</v>
      </c>
      <c r="D780" s="53"/>
      <c r="L780" t="s">
        <v>173</v>
      </c>
      <c r="M780" t="s">
        <v>170</v>
      </c>
    </row>
    <row r="781" spans="1:14" ht="14.65" thickBot="1">
      <c r="A781" s="55" t="s">
        <v>174</v>
      </c>
      <c r="B781" s="56" t="s">
        <v>175</v>
      </c>
      <c r="C781" s="56" t="s">
        <v>176</v>
      </c>
      <c r="D781" s="56" t="s">
        <v>177</v>
      </c>
      <c r="E781" s="56" t="s">
        <v>178</v>
      </c>
      <c r="L781" t="s">
        <v>179</v>
      </c>
      <c r="M781" t="s">
        <v>170</v>
      </c>
    </row>
    <row r="782" spans="1:14">
      <c r="A782" t="s">
        <v>180</v>
      </c>
      <c r="B782" s="358">
        <f>AVERAGE(C762:N762)</f>
        <v>7883900.333333333</v>
      </c>
      <c r="C782" s="359">
        <f>AVERAGE(C762:AL762)</f>
        <v>10153895.638888888</v>
      </c>
      <c r="D782" s="2" t="str">
        <f>IF(B782/B783&gt;1.5,"Bien",IF(B782/B783&gt;1.3,"Ok",IF(B782/B783&gt;1.2,"Revisar",IF(B782/B783&gt;1.15,"Muy Bajo","Alerta"))))</f>
        <v>Alerta</v>
      </c>
      <c r="E782" s="57" t="s">
        <v>181</v>
      </c>
      <c r="L782" t="s">
        <v>182</v>
      </c>
      <c r="M782" t="s">
        <v>183</v>
      </c>
    </row>
    <row r="783" spans="1:14">
      <c r="A783" t="s">
        <v>184</v>
      </c>
      <c r="B783" s="358">
        <f>AVERAGE(C763:N763)</f>
        <v>9154283.75</v>
      </c>
      <c r="C783" s="359">
        <f>AVERAGE(C763:AL763)</f>
        <v>11750815.583333334</v>
      </c>
      <c r="D783" s="53" t="str">
        <f>IF(B783/B782&lt;0.6,"Bien",IF(B783/B782&lt;0.76,"Ok",IF(B783/B782&lt;0.8,"Revisar",IF(B783/B782&lt;0.89,"Riesgo","Alerta"))))</f>
        <v>Alerta</v>
      </c>
      <c r="E783" s="57" t="s">
        <v>185</v>
      </c>
      <c r="L783" t="s">
        <v>186</v>
      </c>
      <c r="M783" t="s">
        <v>183</v>
      </c>
    </row>
    <row r="784" spans="1:14">
      <c r="A784" t="s">
        <v>187</v>
      </c>
      <c r="B784" s="358">
        <f>AVERAGE(C764:N764)</f>
        <v>-6621521.166666667</v>
      </c>
      <c r="C784" s="359">
        <f>AVERAGE(C764:AL764)</f>
        <v>-3213152.3055555555</v>
      </c>
      <c r="D784" s="53" t="str">
        <f>IF(B784/B823&gt;2,"Bien",IF(B784/B823&gt;1.5,"Ok",IF(B784/B823&gt;1.2,"Revisión","Alerta")))</f>
        <v>Alerta</v>
      </c>
      <c r="E784" s="57" t="s">
        <v>188</v>
      </c>
    </row>
    <row r="785" spans="1:9">
      <c r="A785" t="s">
        <v>189</v>
      </c>
      <c r="B785" s="359">
        <f>B784*IF(B784&gt;=0, B833, 1+(1-B833))</f>
        <v>-8607977.5166666675</v>
      </c>
      <c r="C785" s="359">
        <f>C784*IF(C784&gt;=0, B833, 1+(1-B833))</f>
        <v>-4177097.9972222224</v>
      </c>
      <c r="D785" s="2" t="str">
        <f>IF(B785/B823&gt;2,"Bien",IF(B785/B823&gt;1.5,"Ok",IF(B785/B823&gt;1.2,"Revisión","Alerta")))</f>
        <v>Alerta</v>
      </c>
      <c r="E785" s="57" t="s">
        <v>190</v>
      </c>
    </row>
    <row r="786" spans="1:9">
      <c r="A786" t="s">
        <v>191</v>
      </c>
      <c r="B786" s="358">
        <f>AVERAGE(C765:N765)</f>
        <v>7455022.75</v>
      </c>
      <c r="C786" s="359">
        <f>AVERAGE(C765:AL765)</f>
        <v>4398964.777777778</v>
      </c>
      <c r="E786" s="9" t="s">
        <v>192</v>
      </c>
    </row>
    <row r="787" spans="1:9">
      <c r="A787" t="s">
        <v>193</v>
      </c>
      <c r="B787" s="358">
        <f>AVERAGE(C766:N766)</f>
        <v>1573393.0833333333</v>
      </c>
      <c r="C787" s="359">
        <f>AVERAGE(C766:AL766)</f>
        <v>562096.72222222225</v>
      </c>
      <c r="E787" s="9" t="s">
        <v>194</v>
      </c>
    </row>
    <row r="788" spans="1:9">
      <c r="A788" t="s">
        <v>195</v>
      </c>
      <c r="B788" s="360">
        <f>+(B786/B782)*30</f>
        <v>28.368025094685578</v>
      </c>
      <c r="C788" s="360">
        <f>+(C786/C782)*30</f>
        <v>12.996878048253638</v>
      </c>
      <c r="D788" s="10" t="str">
        <f>+IF(B788&gt;B789,"Financia a Proveedores", "Proveedores la Financian")</f>
        <v>Financia a Proveedores</v>
      </c>
      <c r="E788" s="9" t="s">
        <v>196</v>
      </c>
    </row>
    <row r="789" spans="1:9">
      <c r="A789" t="s">
        <v>197</v>
      </c>
      <c r="B789" s="360">
        <f>+(B787/B783)*30</f>
        <v>5.1562518476664003</v>
      </c>
      <c r="C789" s="360">
        <f>+(C787/C783)*30</f>
        <v>1.435040959249162</v>
      </c>
      <c r="D789" s="10" t="str">
        <f>+IF(B789&gt;B788,"Proveedores la Financian","Financia a Proveedores")</f>
        <v>Financia a Proveedores</v>
      </c>
      <c r="E789" s="9" t="s">
        <v>196</v>
      </c>
    </row>
    <row r="790" spans="1:9">
      <c r="A790" t="s">
        <v>198</v>
      </c>
      <c r="B790" s="208">
        <f>+((B787*4.5)/(B784*12))</f>
        <v>-8.9106776433823975E-2</v>
      </c>
      <c r="C790" s="208">
        <f>+(C787*4.5)/(C784*12)</f>
        <v>-6.5601082920620626E-2</v>
      </c>
      <c r="D790" s="59" t="str">
        <f>IF(B790&lt;=0,"ALERTA",(B787*4.5)/(B784*12))</f>
        <v>ALERTA</v>
      </c>
      <c r="E790" s="57" t="s">
        <v>346</v>
      </c>
      <c r="I790" t="s">
        <v>199</v>
      </c>
    </row>
    <row r="791" spans="1:9">
      <c r="A791" t="s">
        <v>200</v>
      </c>
      <c r="B791" s="427"/>
      <c r="C791" s="360"/>
      <c r="E791" t="s">
        <v>201</v>
      </c>
    </row>
    <row r="792" spans="1:9">
      <c r="A792" t="s">
        <v>202</v>
      </c>
      <c r="B792" s="60">
        <f>(B784/B782)</f>
        <v>-0.8398788526880161</v>
      </c>
      <c r="C792" s="60">
        <f>(C784/C782)</f>
        <v>-0.31644527576680526</v>
      </c>
      <c r="D792" s="2" t="str">
        <f>IF(B792&lt;=0,"ALERTA",(B789*4.5)/(B786*12))</f>
        <v>ALERTA</v>
      </c>
      <c r="E792" s="57" t="s">
        <v>203</v>
      </c>
    </row>
    <row r="793" spans="1:9">
      <c r="A793" t="s">
        <v>362</v>
      </c>
      <c r="B793" s="444">
        <f>_xlfn.STDEV.P(C764:N764)</f>
        <v>7277378.2579394942</v>
      </c>
      <c r="C793" s="444">
        <f>_xlfn.STDEV.P(C764:AL764)</f>
        <v>6905503.0589420004</v>
      </c>
      <c r="E793" s="57" t="s">
        <v>204</v>
      </c>
    </row>
    <row r="794" spans="1:9">
      <c r="A794" t="s">
        <v>205</v>
      </c>
      <c r="B794" s="382">
        <f>ABS(B793/B784)</f>
        <v>1.0990493082729194</v>
      </c>
      <c r="C794" s="366">
        <f>C793/C784</f>
        <v>-2.1491365494882868</v>
      </c>
      <c r="D794" s="57"/>
      <c r="E794" s="57" t="s">
        <v>370</v>
      </c>
    </row>
    <row r="795" spans="1:9">
      <c r="A795" t="s">
        <v>371</v>
      </c>
      <c r="B795" s="60">
        <f>(B793/B782)</f>
        <v>0.92306827207981712</v>
      </c>
      <c r="C795" s="60">
        <f>+(C793/C782)</f>
        <v>0.6800841080633413</v>
      </c>
      <c r="D795" s="2" t="str">
        <f>+IF(B795&lt;20%,"Estables",IF(B795&lt;40%,"Normal",IF(B795&gt;40%,"Volatil")))</f>
        <v>Volatil</v>
      </c>
      <c r="E795" s="57" t="s">
        <v>207</v>
      </c>
    </row>
    <row r="796" spans="1:9">
      <c r="A796" t="s">
        <v>208</v>
      </c>
      <c r="B796" s="361">
        <f>COUNTIF(E762:P762,"&gt;0")</f>
        <v>11</v>
      </c>
      <c r="C796" s="362">
        <f>COUNTIF(E762:AN762,"&gt;0")</f>
        <v>33</v>
      </c>
      <c r="E796" s="57" t="s">
        <v>209</v>
      </c>
    </row>
    <row r="797" spans="1:9">
      <c r="A797" t="s">
        <v>210</v>
      </c>
      <c r="B797" s="363">
        <f>B796/12</f>
        <v>0.91666666666666663</v>
      </c>
      <c r="C797" s="363">
        <f>C796/36</f>
        <v>0.91666666666666663</v>
      </c>
      <c r="D797" s="2" t="str">
        <f>+IF(B797&gt;90%,"Estable",IF(B797&gt;50%,"Intermitente",IF(B797&lt;50%,"Riesgoso")))</f>
        <v>Estable</v>
      </c>
      <c r="E797" s="57" t="s">
        <v>211</v>
      </c>
    </row>
    <row r="798" spans="1:9">
      <c r="A798" s="203"/>
      <c r="B798" s="204"/>
      <c r="C798" s="204"/>
      <c r="D798" s="205"/>
      <c r="E798" s="206"/>
    </row>
    <row r="799" spans="1:9">
      <c r="A799" t="s">
        <v>212</v>
      </c>
      <c r="B799" s="60">
        <f>AVERAGE(C762:H762)/AVERAGE(I762:N762)-1</f>
        <v>1.701197450786025</v>
      </c>
      <c r="C799" s="60">
        <f>AVERAGE(C762:T762)/AVERAGE(U762:AL762)-1</f>
        <v>-0.47601391159815931</v>
      </c>
      <c r="D799" s="59" t="str">
        <f>+IF(B799&gt;15%,"Bueno",IF(B799&gt;5%,"Estable",IF(B799&gt;1%,"Bajo",IF(B799&gt;-10%,"Alerta","Deterioro"))))</f>
        <v>Bueno</v>
      </c>
      <c r="E799" s="9" t="s">
        <v>213</v>
      </c>
    </row>
    <row r="800" spans="1:9" ht="14.65" thickBot="1">
      <c r="A800" s="23" t="s">
        <v>401</v>
      </c>
      <c r="B800" s="439">
        <f>AVERAGE(C763:H763)/AVERAGE(I763:N763)-1</f>
        <v>1.1173077123902275</v>
      </c>
      <c r="C800" s="439">
        <f>AVERAGE(C763:T763)/AVERAGE(U763:AL763)-1</f>
        <v>-0.48214771697007808</v>
      </c>
      <c r="D800" s="440">
        <f>IF(B800&gt;B799,-20,IF(B800&lt;0,100,IF(B800&lt;=B799*0.5,80,IF(B800&lt;=B799,60,30))))</f>
        <v>60</v>
      </c>
    </row>
    <row r="801" spans="1:9" ht="14.65" thickBot="1">
      <c r="A801" s="55" t="s">
        <v>214</v>
      </c>
      <c r="B801" s="61" t="s">
        <v>215</v>
      </c>
      <c r="C801" s="56" t="s">
        <v>178</v>
      </c>
      <c r="D801" s="411"/>
    </row>
    <row r="802" spans="1:9">
      <c r="A802" s="16" t="s">
        <v>216</v>
      </c>
      <c r="B802" s="62">
        <v>36</v>
      </c>
      <c r="C802" s="1" t="s">
        <v>217</v>
      </c>
    </row>
    <row r="803" spans="1:9">
      <c r="A803" s="3" t="s">
        <v>218</v>
      </c>
      <c r="B803" s="25">
        <v>36</v>
      </c>
      <c r="C803" s="1" t="s">
        <v>219</v>
      </c>
    </row>
    <row r="804" spans="1:9">
      <c r="A804" s="3" t="s">
        <v>220</v>
      </c>
      <c r="B804" s="25">
        <v>0</v>
      </c>
      <c r="C804" s="1" t="s">
        <v>221</v>
      </c>
    </row>
    <row r="805" spans="1:9">
      <c r="A805" s="3" t="s">
        <v>222</v>
      </c>
      <c r="B805" s="4" t="str">
        <f>IF(B804=1,"RECHAZAR","NO")</f>
        <v>NO</v>
      </c>
      <c r="C805" s="1" t="s">
        <v>223</v>
      </c>
    </row>
    <row r="806" spans="1:9">
      <c r="A806" s="3" t="s">
        <v>224</v>
      </c>
      <c r="B806" s="65">
        <v>1408</v>
      </c>
      <c r="C806" s="1" t="s">
        <v>225</v>
      </c>
    </row>
    <row r="807" spans="1:9">
      <c r="A807" s="3" t="s">
        <v>226</v>
      </c>
      <c r="B807" s="323" t="str">
        <f>IF(B806&gt;1500,"ALERTA CONCENTRACION","OK")</f>
        <v>OK</v>
      </c>
      <c r="C807" s="1" t="s">
        <v>227</v>
      </c>
    </row>
    <row r="808" spans="1:9">
      <c r="A808" s="443" t="s">
        <v>403</v>
      </c>
      <c r="B808" s="66">
        <v>0.16</v>
      </c>
      <c r="C808" s="1" t="s">
        <v>229</v>
      </c>
    </row>
    <row r="809" spans="1:9">
      <c r="A809" s="3" t="s">
        <v>230</v>
      </c>
      <c r="B809" s="66">
        <v>2.4199999999999999E-2</v>
      </c>
      <c r="C809" s="1" t="s">
        <v>231</v>
      </c>
    </row>
    <row r="810" spans="1:9">
      <c r="A810" s="3" t="s">
        <v>232</v>
      </c>
      <c r="B810" s="67">
        <v>0.13</v>
      </c>
      <c r="C810" s="1" t="s">
        <v>233</v>
      </c>
    </row>
    <row r="811" spans="1:9">
      <c r="A811" s="3" t="s">
        <v>234</v>
      </c>
      <c r="B811" s="68" t="str">
        <f>IF(B810&gt;0.2,"ALERTA","OK")</f>
        <v>OK</v>
      </c>
      <c r="C811" s="1" t="s">
        <v>177</v>
      </c>
    </row>
    <row r="812" spans="1:9">
      <c r="A812" s="3" t="s">
        <v>235</v>
      </c>
      <c r="B812" s="69">
        <v>265</v>
      </c>
      <c r="C812" s="1" t="s">
        <v>372</v>
      </c>
      <c r="I812" t="s">
        <v>373</v>
      </c>
    </row>
    <row r="813" spans="1:9">
      <c r="A813" s="3" t="s">
        <v>236</v>
      </c>
      <c r="B813" s="68" t="str">
        <f>IF(B812&gt;175,"NO",IF(B812="","Sin Buró","RECHAZAR"))</f>
        <v>NO</v>
      </c>
      <c r="C813" s="1" t="s">
        <v>177</v>
      </c>
    </row>
    <row r="814" spans="1:9" ht="14.65" thickBot="1">
      <c r="A814" s="6" t="s">
        <v>237</v>
      </c>
      <c r="B814" s="380" t="str">
        <f>IF(AND(B810&gt;0.1, B799&gt;0.5, B806&gt;3500),"Fachada RECHAZAR","NO FACHADA")</f>
        <v>NO FACHADA</v>
      </c>
      <c r="C814" s="1" t="s">
        <v>238</v>
      </c>
    </row>
    <row r="815" spans="1:9" ht="14.65" thickBot="1">
      <c r="A815" s="3" t="s">
        <v>239</v>
      </c>
      <c r="B815" s="69">
        <v>673</v>
      </c>
    </row>
    <row r="816" spans="1:9" ht="14.65" thickBot="1">
      <c r="A816" s="412" t="s">
        <v>240</v>
      </c>
      <c r="B816" s="413"/>
      <c r="C816" s="56" t="s">
        <v>177</v>
      </c>
      <c r="D816" s="56" t="s">
        <v>178</v>
      </c>
    </row>
    <row r="817" spans="1:7">
      <c r="A817" s="16" t="s">
        <v>241</v>
      </c>
      <c r="B817" s="70">
        <f>901200+0+22281</f>
        <v>923481</v>
      </c>
      <c r="D817" s="1" t="s">
        <v>242</v>
      </c>
    </row>
    <row r="818" spans="1:7">
      <c r="A818" s="3" t="s">
        <v>243</v>
      </c>
      <c r="B818" s="71">
        <v>66000</v>
      </c>
      <c r="D818" s="1" t="s">
        <v>244</v>
      </c>
    </row>
    <row r="819" spans="1:7">
      <c r="A819" s="3" t="s">
        <v>245</v>
      </c>
      <c r="B819" s="71">
        <v>194224.14</v>
      </c>
      <c r="D819" s="1" t="s">
        <v>245</v>
      </c>
    </row>
    <row r="820" spans="1:7">
      <c r="A820" s="3" t="s">
        <v>246</v>
      </c>
      <c r="B820" s="251">
        <f>B817-B818</f>
        <v>857481</v>
      </c>
      <c r="D820" s="1" t="s">
        <v>247</v>
      </c>
    </row>
    <row r="821" spans="1:7">
      <c r="A821" s="3" t="s">
        <v>248</v>
      </c>
      <c r="B821" s="25">
        <v>48</v>
      </c>
    </row>
    <row r="822" spans="1:7">
      <c r="A822" s="3" t="s">
        <v>83</v>
      </c>
      <c r="B822" s="72">
        <f>+IF(B821&lt;24,30.2%,IF(B821&lt;36,26%,IF(B821&lt;48,24.55%,IF(B821&lt;60,23.82%,"0%"))))</f>
        <v>0.2382</v>
      </c>
      <c r="D822" s="73"/>
    </row>
    <row r="823" spans="1:7">
      <c r="A823" s="3" t="s">
        <v>249</v>
      </c>
      <c r="B823" s="216">
        <f>+PMT(B822/12,B821,-B820,B819)</f>
        <v>25412.792307261549</v>
      </c>
      <c r="C823" s="2" t="str">
        <f>IF(B824/B823&gt;2,"Bien",IF(B824/B823&gt;1.5,"Ok",IF(B824/B823&gt;1.2,"Alerta","Le falta Flujo")))</f>
        <v>Le falta Flujo</v>
      </c>
      <c r="D823" s="1" t="s">
        <v>250</v>
      </c>
    </row>
    <row r="824" spans="1:7">
      <c r="A824" s="3" t="s">
        <v>189</v>
      </c>
      <c r="B824" s="216">
        <f>B785</f>
        <v>-8607977.5166666675</v>
      </c>
      <c r="C824" s="2" t="str">
        <f>IF(B785/B823&gt;2,"Buen Flujo",IF(B785/B823&gt;1.5,"Ok Flujo",IF(B785/B823&gt;1.1,"Flujo muy Justo","Flujo Insuficiente")))</f>
        <v>Flujo Insuficiente</v>
      </c>
      <c r="D824" s="1" t="s">
        <v>251</v>
      </c>
    </row>
    <row r="825" spans="1:7">
      <c r="A825" s="3" t="s">
        <v>252</v>
      </c>
      <c r="B825" s="364">
        <f>+(B824/B823)</f>
        <v>-338.72615856569968</v>
      </c>
      <c r="C825" s="2" t="str">
        <f>+IF(B825&gt;1.5,"Comodo",IF(B825&gt;1.1,"Aceptable",IF(B825&lt;1.1,"Rechazo")))</f>
        <v>Rechazo</v>
      </c>
      <c r="D825" t="s">
        <v>374</v>
      </c>
    </row>
    <row r="826" spans="1:7">
      <c r="A826" s="3" t="s">
        <v>253</v>
      </c>
      <c r="B826" s="289">
        <f>IF(B821&lt;=24,$B$584,IF(B821&lt;=36,$B$585,IF(B821&lt;=48,$B$586,$B$587)))</f>
        <v>2.5</v>
      </c>
      <c r="D826" t="s">
        <v>254</v>
      </c>
    </row>
    <row r="827" spans="1:7">
      <c r="A827" s="3" t="s">
        <v>255</v>
      </c>
      <c r="B827" s="365"/>
      <c r="C827" s="4" t="str">
        <f>IF(B825&gt;B826,"Suficiente",IF(B825&lt;1,"Negativo","AVAL"))</f>
        <v>Negativo</v>
      </c>
      <c r="D827" t="s">
        <v>256</v>
      </c>
    </row>
    <row r="828" spans="1:7">
      <c r="A828" s="3" t="s">
        <v>257</v>
      </c>
      <c r="B828" s="72">
        <f>+B817/SUM(D762:O762)</f>
        <v>9.6839422347829544E-3</v>
      </c>
      <c r="C828" s="2" t="str">
        <f>IF(B828&lt;0.1,"Excelente",IF(B828&lt;0.2,"Bien",IF(B828&lt;0.3,"Ok",IF(B828&lt;0.6,"Revisar",IF(B828&lt;0.9,"Alerta","Sobrepasado")))))</f>
        <v>Excelente</v>
      </c>
      <c r="D828" t="s">
        <v>375</v>
      </c>
    </row>
    <row r="829" spans="1:7">
      <c r="A829" s="3" t="s">
        <v>258</v>
      </c>
      <c r="B829" s="216">
        <f>B824/B826</f>
        <v>-3443191.0066666668</v>
      </c>
      <c r="C829" s="74" t="str">
        <f>IF(B829/B823&gt;4,"Ok",IF(B829/B823&gt;2,"OK",IF((B829/B823)&gt;1.2,"Renta con Riesgo",IF(B829/B823&lt;1.1,"No Otorgar"))))</f>
        <v>No Otorgar</v>
      </c>
      <c r="D829" t="s">
        <v>259</v>
      </c>
      <c r="G829">
        <f>+B829/B823</f>
        <v>-135.49046342627986</v>
      </c>
    </row>
    <row r="830" spans="1:7" ht="14.65" thickBot="1">
      <c r="A830" s="6" t="s">
        <v>260</v>
      </c>
      <c r="B830" s="367">
        <f>IF(B824&lt;0, 0, PV(B822/12,B821,-B829))</f>
        <v>0</v>
      </c>
      <c r="C830" s="2" t="str">
        <f>+IF(B830/B817&gt;1,"Otorgar",IF(B830/B817&gt;0.75,"Revision","No Otorgar"))</f>
        <v>No Otorgar</v>
      </c>
      <c r="D830" t="s">
        <v>261</v>
      </c>
    </row>
    <row r="831" spans="1:7" ht="14.65" thickBot="1"/>
    <row r="832" spans="1:7">
      <c r="A832" s="47" t="s">
        <v>262</v>
      </c>
      <c r="B832" s="48" t="s">
        <v>263</v>
      </c>
    </row>
    <row r="833" spans="1:39">
      <c r="A833" s="24" t="s">
        <v>264</v>
      </c>
      <c r="B833" s="25">
        <v>0.7</v>
      </c>
      <c r="M833" t="s">
        <v>265</v>
      </c>
    </row>
    <row r="834" spans="1:39">
      <c r="A834" s="24" t="s">
        <v>80</v>
      </c>
      <c r="B834" s="25">
        <v>3</v>
      </c>
      <c r="D834" t="s">
        <v>254</v>
      </c>
    </row>
    <row r="835" spans="1:39">
      <c r="A835" s="24" t="s">
        <v>85</v>
      </c>
      <c r="B835" s="25">
        <v>2.75</v>
      </c>
      <c r="D835" t="s">
        <v>254</v>
      </c>
    </row>
    <row r="836" spans="1:39">
      <c r="A836" s="24" t="s">
        <v>87</v>
      </c>
      <c r="B836" s="25">
        <v>2.5</v>
      </c>
      <c r="D836" t="s">
        <v>254</v>
      </c>
    </row>
    <row r="837" spans="1:39">
      <c r="A837" s="24" t="s">
        <v>88</v>
      </c>
      <c r="B837" s="25">
        <v>2.25</v>
      </c>
      <c r="D837" t="s">
        <v>254</v>
      </c>
    </row>
    <row r="838" spans="1:39">
      <c r="A838" s="24" t="s">
        <v>266</v>
      </c>
      <c r="B838" s="25">
        <v>6</v>
      </c>
      <c r="D838" t="s">
        <v>267</v>
      </c>
    </row>
    <row r="839" spans="1:39">
      <c r="A839" s="24" t="s">
        <v>268</v>
      </c>
      <c r="B839" s="25">
        <v>-10</v>
      </c>
      <c r="D839" t="s">
        <v>269</v>
      </c>
    </row>
    <row r="840" spans="1:39" ht="14.65" thickBot="1">
      <c r="A840" s="50" t="s">
        <v>270</v>
      </c>
      <c r="B840" s="75">
        <v>-30</v>
      </c>
      <c r="D840" t="s">
        <v>271</v>
      </c>
    </row>
    <row r="841" spans="1:39" ht="14.65" thickBot="1"/>
    <row r="842" spans="1:39" ht="27" thickBot="1">
      <c r="A842" s="453" t="s">
        <v>404</v>
      </c>
      <c r="B842" s="454"/>
      <c r="C842" s="454"/>
      <c r="D842" s="454"/>
      <c r="E842" s="454"/>
      <c r="F842" s="388"/>
      <c r="G842" s="388"/>
      <c r="H842" s="389"/>
      <c r="I842" s="386"/>
      <c r="J842" s="386"/>
      <c r="K842" s="386"/>
      <c r="L842" s="386"/>
      <c r="M842" s="386"/>
      <c r="N842" s="386"/>
      <c r="O842" s="386"/>
      <c r="P842" s="386"/>
      <c r="Q842" s="386"/>
      <c r="R842" s="386"/>
      <c r="S842" s="386"/>
      <c r="T842" s="386"/>
      <c r="U842" s="386"/>
      <c r="V842" s="386"/>
      <c r="W842" s="386"/>
      <c r="X842" s="386"/>
      <c r="Y842" s="386"/>
      <c r="Z842" s="386"/>
      <c r="AA842" s="386"/>
      <c r="AB842" s="386"/>
      <c r="AC842" s="386"/>
      <c r="AD842" s="386"/>
      <c r="AE842" s="386"/>
      <c r="AF842" s="386"/>
      <c r="AG842" s="386"/>
      <c r="AH842" s="386"/>
      <c r="AI842" s="386"/>
      <c r="AJ842" s="386"/>
      <c r="AK842" s="386"/>
      <c r="AL842" s="390"/>
    </row>
    <row r="843" spans="1:39" ht="14.65" thickBot="1">
      <c r="A843" s="30" t="s">
        <v>131</v>
      </c>
      <c r="C843" s="31">
        <v>46143</v>
      </c>
      <c r="D843" s="31">
        <v>46113</v>
      </c>
      <c r="E843" s="31">
        <v>46054</v>
      </c>
      <c r="F843" s="31">
        <f>+E843-1</f>
        <v>46053</v>
      </c>
      <c r="G843" s="31">
        <f>+F843-1</f>
        <v>46052</v>
      </c>
      <c r="H843" s="31">
        <f t="shared" ref="H843" si="233">+G843-1</f>
        <v>46051</v>
      </c>
      <c r="I843" s="31">
        <f t="shared" ref="I843" si="234">+H843-1</f>
        <v>46050</v>
      </c>
      <c r="J843" s="31">
        <f t="shared" ref="J843" si="235">+I843-1</f>
        <v>46049</v>
      </c>
      <c r="K843" s="31">
        <f t="shared" ref="K843" si="236">+J843-1</f>
        <v>46048</v>
      </c>
      <c r="L843" s="31">
        <f t="shared" ref="L843" si="237">+K843-1</f>
        <v>46047</v>
      </c>
      <c r="M843" s="31">
        <f t="shared" ref="M843" si="238">+L843-1</f>
        <v>46046</v>
      </c>
      <c r="N843" s="31">
        <f t="shared" ref="N843" si="239">+M843-1</f>
        <v>46045</v>
      </c>
      <c r="O843" s="31">
        <f t="shared" ref="O843" si="240">+N843-1</f>
        <v>46044</v>
      </c>
      <c r="P843" s="31">
        <f t="shared" ref="P843" si="241">+O843-1</f>
        <v>46043</v>
      </c>
      <c r="Q843" s="31">
        <f t="shared" ref="Q843" si="242">+P843-1</f>
        <v>46042</v>
      </c>
      <c r="R843" s="31">
        <f t="shared" ref="R843" si="243">+Q843-1</f>
        <v>46041</v>
      </c>
      <c r="S843" s="31">
        <f t="shared" ref="S843" si="244">+R843-1</f>
        <v>46040</v>
      </c>
      <c r="T843" s="31">
        <f t="shared" ref="T843" si="245">+S843-1</f>
        <v>46039</v>
      </c>
      <c r="U843" s="31">
        <f t="shared" ref="U843" si="246">+T843-1</f>
        <v>46038</v>
      </c>
      <c r="V843" s="31">
        <f t="shared" ref="V843" si="247">+U843-1</f>
        <v>46037</v>
      </c>
      <c r="W843" s="31">
        <f t="shared" ref="W843" si="248">+V843-1</f>
        <v>46036</v>
      </c>
      <c r="X843" s="31">
        <f t="shared" ref="X843" si="249">+W843-1</f>
        <v>46035</v>
      </c>
      <c r="Y843" s="31">
        <f t="shared" ref="Y843" si="250">+X843-1</f>
        <v>46034</v>
      </c>
      <c r="Z843" s="31">
        <f t="shared" ref="Z843" si="251">+Y843-1</f>
        <v>46033</v>
      </c>
      <c r="AA843" s="31">
        <f t="shared" ref="AA843" si="252">+Z843-1</f>
        <v>46032</v>
      </c>
      <c r="AB843" s="31">
        <f t="shared" ref="AB843" si="253">+AA843-1</f>
        <v>46031</v>
      </c>
      <c r="AC843" s="31">
        <f t="shared" ref="AC843" si="254">+AB843-1</f>
        <v>46030</v>
      </c>
      <c r="AD843" s="31">
        <f t="shared" ref="AD843" si="255">+AC843-1</f>
        <v>46029</v>
      </c>
      <c r="AE843" s="31">
        <f t="shared" ref="AE843" si="256">+AD843-1</f>
        <v>46028</v>
      </c>
      <c r="AF843" s="31">
        <f t="shared" ref="AF843" si="257">+AE843-1</f>
        <v>46027</v>
      </c>
      <c r="AG843" s="31">
        <f t="shared" ref="AG843" si="258">+AF843-1</f>
        <v>46026</v>
      </c>
      <c r="AH843" s="31">
        <f t="shared" ref="AH843" si="259">+AG843-1</f>
        <v>46025</v>
      </c>
      <c r="AI843" s="31">
        <f t="shared" ref="AI843" si="260">+AH843-1</f>
        <v>46024</v>
      </c>
      <c r="AJ843" s="31">
        <f t="shared" ref="AJ843" si="261">+AI843-1</f>
        <v>46023</v>
      </c>
      <c r="AK843" s="31">
        <f t="shared" ref="AK843" si="262">+AJ843-1</f>
        <v>46022</v>
      </c>
      <c r="AL843" s="31">
        <f t="shared" ref="AL843" si="263">+AK843-1</f>
        <v>46021</v>
      </c>
    </row>
    <row r="844" spans="1:39" ht="14.65" thickBot="1">
      <c r="A844" s="32" t="s">
        <v>132</v>
      </c>
      <c r="C844" s="33">
        <v>1</v>
      </c>
      <c r="D844" s="34">
        <v>2</v>
      </c>
      <c r="E844" s="34">
        <v>3</v>
      </c>
      <c r="F844" s="34">
        <v>4</v>
      </c>
      <c r="G844" s="34">
        <v>5</v>
      </c>
      <c r="H844" s="34">
        <v>6</v>
      </c>
      <c r="I844" s="34">
        <v>7</v>
      </c>
      <c r="J844" s="34">
        <v>8</v>
      </c>
      <c r="K844" s="34">
        <v>9</v>
      </c>
      <c r="L844" s="34">
        <v>10</v>
      </c>
      <c r="M844" s="34">
        <v>11</v>
      </c>
      <c r="N844" s="34">
        <v>12</v>
      </c>
      <c r="O844" s="34">
        <v>13</v>
      </c>
      <c r="P844" s="34">
        <v>14</v>
      </c>
      <c r="Q844" s="34">
        <v>15</v>
      </c>
      <c r="R844" s="34">
        <v>16</v>
      </c>
      <c r="S844" s="34">
        <v>17</v>
      </c>
      <c r="T844" s="34">
        <v>18</v>
      </c>
      <c r="U844" s="34">
        <v>19</v>
      </c>
      <c r="V844" s="34">
        <v>20</v>
      </c>
      <c r="W844" s="34">
        <v>21</v>
      </c>
      <c r="X844" s="34">
        <v>22</v>
      </c>
      <c r="Y844" s="34">
        <v>23</v>
      </c>
      <c r="Z844" s="34">
        <v>24</v>
      </c>
      <c r="AA844" s="34">
        <v>25</v>
      </c>
      <c r="AB844" s="34">
        <v>26</v>
      </c>
      <c r="AC844" s="34">
        <v>27</v>
      </c>
      <c r="AD844" s="34">
        <v>28</v>
      </c>
      <c r="AE844" s="34">
        <v>29</v>
      </c>
      <c r="AF844" s="34">
        <v>30</v>
      </c>
      <c r="AG844" s="34">
        <v>31</v>
      </c>
      <c r="AH844" s="34">
        <v>32</v>
      </c>
      <c r="AI844" s="34">
        <v>33</v>
      </c>
      <c r="AJ844" s="34">
        <v>34</v>
      </c>
      <c r="AK844" s="34">
        <v>35</v>
      </c>
      <c r="AL844" s="35">
        <v>36</v>
      </c>
      <c r="AM844">
        <v>37</v>
      </c>
    </row>
    <row r="845" spans="1:39" ht="14.25" customHeight="1">
      <c r="A845" s="36" t="s">
        <v>133</v>
      </c>
      <c r="B845" s="418" t="s">
        <v>134</v>
      </c>
      <c r="C845" s="37">
        <v>0</v>
      </c>
      <c r="D845" s="37">
        <v>1713580.48</v>
      </c>
      <c r="E845" s="37">
        <v>5539130.1600000001</v>
      </c>
      <c r="F845" s="37">
        <v>6580453.9500000002</v>
      </c>
      <c r="G845" s="37">
        <v>4226383.4400000004</v>
      </c>
      <c r="H845" s="37">
        <v>16599190.52</v>
      </c>
      <c r="I845" s="37">
        <v>7398041.0300000003</v>
      </c>
      <c r="J845" s="37">
        <v>10690637.77</v>
      </c>
      <c r="K845" s="37">
        <v>2827282.4</v>
      </c>
      <c r="L845" s="37">
        <v>7805645.4500000002</v>
      </c>
      <c r="M845" s="37">
        <v>3842230.94</v>
      </c>
      <c r="N845" s="37">
        <v>2950267.92</v>
      </c>
      <c r="O845" s="37">
        <v>1627734.42</v>
      </c>
      <c r="P845" s="37">
        <v>574356.24</v>
      </c>
      <c r="Q845" s="37">
        <v>482792.7</v>
      </c>
      <c r="R845" s="37">
        <v>1008301.99</v>
      </c>
      <c r="S845" s="37">
        <v>531898.62</v>
      </c>
      <c r="T845" s="37">
        <v>1896318.37</v>
      </c>
      <c r="U845" s="37">
        <v>0</v>
      </c>
      <c r="V845" s="37">
        <v>0</v>
      </c>
      <c r="W845" s="37">
        <v>0</v>
      </c>
      <c r="X845" s="37">
        <v>0</v>
      </c>
      <c r="Y845" s="37">
        <v>0</v>
      </c>
      <c r="Z845" s="37">
        <v>0</v>
      </c>
      <c r="AA845" s="37">
        <v>0</v>
      </c>
      <c r="AB845" s="37">
        <v>0</v>
      </c>
      <c r="AC845" s="37">
        <v>0</v>
      </c>
      <c r="AD845" s="37">
        <v>0</v>
      </c>
      <c r="AE845" s="37">
        <v>0</v>
      </c>
      <c r="AF845" s="37">
        <v>0</v>
      </c>
      <c r="AG845" s="37">
        <v>0</v>
      </c>
      <c r="AH845" s="37">
        <v>0</v>
      </c>
      <c r="AI845" s="37">
        <v>0</v>
      </c>
      <c r="AJ845" s="37">
        <v>0</v>
      </c>
      <c r="AK845" s="37">
        <v>0</v>
      </c>
      <c r="AL845" s="37">
        <v>0</v>
      </c>
    </row>
    <row r="846" spans="1:39">
      <c r="A846" s="36" t="s">
        <v>135</v>
      </c>
      <c r="B846" s="419"/>
      <c r="C846" s="39">
        <v>0</v>
      </c>
      <c r="D846" s="39">
        <v>2041560.28</v>
      </c>
      <c r="E846" s="39">
        <v>3522612.58</v>
      </c>
      <c r="F846" s="39">
        <v>5430109.0099999998</v>
      </c>
      <c r="G846" s="39">
        <v>3531585.12</v>
      </c>
      <c r="H846" s="39">
        <v>10470847.039999999</v>
      </c>
      <c r="I846" s="39">
        <v>1850905.16</v>
      </c>
      <c r="J846" s="39">
        <v>5606580.79</v>
      </c>
      <c r="K846" s="39">
        <v>633885.76</v>
      </c>
      <c r="L846" s="39">
        <v>2162268.9</v>
      </c>
      <c r="M846" s="39">
        <v>6444959.9000000004</v>
      </c>
      <c r="N846" s="39">
        <v>2648939.89</v>
      </c>
      <c r="O846" s="39">
        <v>2184663.12</v>
      </c>
      <c r="P846" s="39">
        <v>882031.3</v>
      </c>
      <c r="Q846" s="39">
        <v>391949.99</v>
      </c>
      <c r="R846" s="39">
        <v>229043.89</v>
      </c>
      <c r="S846" s="39">
        <v>65776.27</v>
      </c>
      <c r="T846" s="39">
        <v>2499839.4</v>
      </c>
      <c r="U846" s="39">
        <v>129276.94</v>
      </c>
      <c r="V846" s="39">
        <v>117165.67</v>
      </c>
      <c r="W846" s="39">
        <v>936.9</v>
      </c>
      <c r="X846" s="39">
        <v>336.9</v>
      </c>
      <c r="Y846" s="39">
        <v>2717.38</v>
      </c>
      <c r="Z846" s="39">
        <v>0</v>
      </c>
      <c r="AA846" s="39">
        <v>0</v>
      </c>
      <c r="AB846" s="39">
        <v>0</v>
      </c>
      <c r="AC846" s="39">
        <v>0</v>
      </c>
      <c r="AD846" s="39">
        <v>0</v>
      </c>
      <c r="AE846" s="39">
        <v>0</v>
      </c>
      <c r="AF846" s="39">
        <v>0</v>
      </c>
      <c r="AG846" s="39">
        <v>0</v>
      </c>
      <c r="AH846" s="39">
        <v>0</v>
      </c>
      <c r="AI846" s="39">
        <v>0</v>
      </c>
      <c r="AJ846" s="39">
        <v>0</v>
      </c>
      <c r="AK846" s="39">
        <v>0</v>
      </c>
      <c r="AL846" s="39">
        <v>0</v>
      </c>
    </row>
    <row r="847" spans="1:39">
      <c r="A847" s="36" t="s">
        <v>136</v>
      </c>
      <c r="B847" s="419"/>
      <c r="C847" s="39">
        <v>0</v>
      </c>
      <c r="D847" s="39">
        <v>707113.3</v>
      </c>
      <c r="E847" s="39">
        <v>2520173.7000000002</v>
      </c>
      <c r="F847" s="39">
        <v>-624316</v>
      </c>
      <c r="G847" s="39">
        <v>-2224273.5</v>
      </c>
      <c r="H847" s="39">
        <v>12737334</v>
      </c>
      <c r="I847" s="39">
        <v>7115725.7800000003</v>
      </c>
      <c r="J847" s="39">
        <v>9151025.1999999993</v>
      </c>
      <c r="K847" s="39">
        <v>-2000803.5</v>
      </c>
      <c r="L847" s="39">
        <v>6453031.7999999998</v>
      </c>
      <c r="M847" s="39">
        <v>1244443.5</v>
      </c>
      <c r="N847" s="39">
        <v>1955391.7</v>
      </c>
      <c r="O847" s="39">
        <v>-343317.1</v>
      </c>
      <c r="P847" s="39">
        <v>-192027.76</v>
      </c>
      <c r="Q847" s="39">
        <v>532049</v>
      </c>
      <c r="R847" s="39">
        <v>1107318.5</v>
      </c>
      <c r="S847" s="39">
        <v>235630.46</v>
      </c>
      <c r="T847" s="39">
        <v>1981696.9</v>
      </c>
      <c r="U847" s="39">
        <v>-129119.03</v>
      </c>
      <c r="V847" s="39">
        <v>-117227.76</v>
      </c>
      <c r="W847" s="39">
        <v>-778.99</v>
      </c>
      <c r="X847" s="39">
        <v>-1958.55</v>
      </c>
      <c r="Y847" s="39">
        <v>-1379</v>
      </c>
      <c r="Z847" s="39">
        <v>0</v>
      </c>
      <c r="AA847" s="39">
        <v>0</v>
      </c>
      <c r="AB847" s="39">
        <v>0</v>
      </c>
      <c r="AC847" s="39">
        <v>0</v>
      </c>
      <c r="AD847" s="39">
        <v>0</v>
      </c>
      <c r="AE847" s="39">
        <v>0</v>
      </c>
      <c r="AF847" s="39">
        <v>0</v>
      </c>
      <c r="AG847" s="39">
        <v>0</v>
      </c>
      <c r="AH847" s="39">
        <v>0</v>
      </c>
      <c r="AI847" s="39">
        <v>0</v>
      </c>
      <c r="AJ847" s="39">
        <v>0</v>
      </c>
      <c r="AK847" s="39">
        <v>0</v>
      </c>
      <c r="AL847" s="39">
        <v>0</v>
      </c>
    </row>
    <row r="848" spans="1:39">
      <c r="A848" s="36" t="s">
        <v>137</v>
      </c>
      <c r="B848" s="419"/>
      <c r="C848" s="39">
        <v>0</v>
      </c>
      <c r="D848" s="39">
        <v>65367.21</v>
      </c>
      <c r="E848" s="39">
        <v>881496.47</v>
      </c>
      <c r="F848" s="39">
        <v>4499.99</v>
      </c>
      <c r="G848" s="39">
        <v>112431.05</v>
      </c>
      <c r="H848" s="39">
        <v>174439.03</v>
      </c>
      <c r="I848" s="39">
        <v>277128.19</v>
      </c>
      <c r="J848" s="39">
        <v>134410.68</v>
      </c>
      <c r="K848" s="39">
        <v>48696.84</v>
      </c>
      <c r="L848" s="39">
        <v>390526.71</v>
      </c>
      <c r="M848" s="39">
        <v>14353.98</v>
      </c>
      <c r="N848" s="39">
        <v>0</v>
      </c>
      <c r="O848" s="39">
        <v>0</v>
      </c>
      <c r="P848" s="39">
        <v>0</v>
      </c>
      <c r="Q848" s="39">
        <v>37250.04</v>
      </c>
      <c r="R848" s="39">
        <v>0</v>
      </c>
      <c r="S848" s="39">
        <v>0</v>
      </c>
      <c r="T848" s="39">
        <v>0</v>
      </c>
      <c r="U848" s="39">
        <v>0</v>
      </c>
      <c r="V848" s="39">
        <v>0</v>
      </c>
      <c r="W848" s="39">
        <v>0</v>
      </c>
      <c r="X848" s="39">
        <v>0</v>
      </c>
      <c r="Y848" s="39">
        <v>0</v>
      </c>
      <c r="Z848" s="39">
        <v>0</v>
      </c>
      <c r="AA848" s="39">
        <v>0</v>
      </c>
      <c r="AB848" s="39">
        <v>0</v>
      </c>
      <c r="AC848" s="39">
        <v>0</v>
      </c>
      <c r="AD848" s="39">
        <v>0</v>
      </c>
      <c r="AE848" s="39">
        <v>0</v>
      </c>
      <c r="AF848" s="39">
        <v>0</v>
      </c>
      <c r="AG848" s="39">
        <v>0</v>
      </c>
      <c r="AH848" s="39">
        <v>0</v>
      </c>
      <c r="AI848" s="39">
        <v>0</v>
      </c>
      <c r="AJ848" s="39">
        <v>0</v>
      </c>
      <c r="AK848" s="39">
        <v>0</v>
      </c>
      <c r="AL848" s="39">
        <v>0</v>
      </c>
    </row>
    <row r="849" spans="1:38" ht="14.65" thickBot="1">
      <c r="A849" s="44" t="s">
        <v>138</v>
      </c>
      <c r="B849" s="420"/>
      <c r="C849" s="45">
        <v>0</v>
      </c>
      <c r="D849" s="45">
        <v>1112034.26</v>
      </c>
      <c r="E849" s="45">
        <v>1186394.06</v>
      </c>
      <c r="F849" s="45">
        <v>608339.29</v>
      </c>
      <c r="G849" s="45">
        <v>2020197.74</v>
      </c>
      <c r="H849" s="45">
        <v>6439052.4500000002</v>
      </c>
      <c r="I849" s="45">
        <v>0</v>
      </c>
      <c r="J849" s="45">
        <v>0</v>
      </c>
      <c r="K849" s="45">
        <v>0</v>
      </c>
      <c r="L849" s="45">
        <v>0</v>
      </c>
      <c r="M849" s="45">
        <v>0</v>
      </c>
      <c r="N849" s="45">
        <v>0</v>
      </c>
      <c r="O849" s="45">
        <v>0</v>
      </c>
      <c r="P849" s="45">
        <v>0</v>
      </c>
      <c r="Q849" s="45">
        <v>0</v>
      </c>
      <c r="R849" s="45">
        <v>0</v>
      </c>
      <c r="S849" s="45">
        <v>0</v>
      </c>
      <c r="T849" s="45">
        <v>0</v>
      </c>
      <c r="U849" s="45">
        <v>0</v>
      </c>
      <c r="V849" s="45">
        <v>0</v>
      </c>
      <c r="W849" s="45">
        <v>0</v>
      </c>
      <c r="X849" s="45">
        <v>0</v>
      </c>
      <c r="Y849" s="45">
        <v>0</v>
      </c>
      <c r="Z849" s="45">
        <v>0</v>
      </c>
      <c r="AA849" s="45">
        <v>0</v>
      </c>
      <c r="AB849" s="45">
        <v>0</v>
      </c>
      <c r="AC849" s="45">
        <v>0</v>
      </c>
      <c r="AD849" s="45">
        <v>0</v>
      </c>
      <c r="AE849" s="45">
        <v>0</v>
      </c>
      <c r="AF849" s="45">
        <v>0</v>
      </c>
      <c r="AG849" s="45">
        <v>0</v>
      </c>
      <c r="AH849" s="45">
        <v>0</v>
      </c>
      <c r="AI849" s="45">
        <v>0</v>
      </c>
      <c r="AJ849" s="45">
        <v>0</v>
      </c>
      <c r="AK849" s="45">
        <v>0</v>
      </c>
      <c r="AL849" s="45">
        <v>0</v>
      </c>
    </row>
    <row r="850" spans="1:38" ht="14.65" thickBot="1"/>
    <row r="851" spans="1:38">
      <c r="A851" s="47" t="s">
        <v>139</v>
      </c>
      <c r="B851" s="48" t="s">
        <v>140</v>
      </c>
      <c r="C851" t="s">
        <v>141</v>
      </c>
      <c r="E851" s="455" t="s">
        <v>142</v>
      </c>
      <c r="F851" s="455"/>
      <c r="I851" s="414" t="s">
        <v>143</v>
      </c>
      <c r="J851" s="414"/>
      <c r="M851" s="415" t="s">
        <v>144</v>
      </c>
      <c r="N851" s="415"/>
    </row>
    <row r="852" spans="1:38">
      <c r="A852" s="24" t="s">
        <v>145</v>
      </c>
      <c r="B852" s="72">
        <v>0.35</v>
      </c>
      <c r="C852" s="217">
        <f>+B852*F856</f>
        <v>29.749999999999996</v>
      </c>
      <c r="E852" s="49" t="s">
        <v>146</v>
      </c>
      <c r="F852" s="23">
        <f>IF(B908&gt;=(B909*1.5),100,IF(B908&gt;=(B909*1.3),80,IF(B908&gt;=(B909*1),50,IF(B908&gt;=(B909*0.75),30,IF(B908&gt;=(B909*0.5),15,IF(B908&gt;=(B909*0.25),10,IF(B908&gt;=(B909*0.1),0,-30)))))))</f>
        <v>100</v>
      </c>
      <c r="G852" s="7"/>
      <c r="I852" s="49" t="s">
        <v>147</v>
      </c>
      <c r="J852">
        <f>IF(B893&lt;0.02,100,IF(B893&lt;0.05,70,IF(B893&lt;0.1,40,0)))</f>
        <v>100</v>
      </c>
      <c r="M852" s="49" t="s">
        <v>148</v>
      </c>
      <c r="N852">
        <f>IF(B886&gt;=36,100,
IF(B886&gt;=24,80,
IF(B886&gt;=12,60,40)))</f>
        <v>100</v>
      </c>
    </row>
    <row r="853" spans="1:38">
      <c r="A853" s="24" t="s">
        <v>61</v>
      </c>
      <c r="B853" s="72">
        <v>0.25</v>
      </c>
      <c r="C853" s="217">
        <f>+B853*N859</f>
        <v>9.125</v>
      </c>
      <c r="E853" s="49" t="s">
        <v>149</v>
      </c>
      <c r="F853">
        <f>IF(B875&gt;0.3,100,IF(B875&gt;0.2,80,IF(B875&gt;0.15,60,IF(B875&gt;0.1,40,IF(B875&gt;0.05,20,IF(B875&gt;0,0,-20))))))</f>
        <v>100</v>
      </c>
      <c r="G853" s="7"/>
      <c r="I853" s="49" t="s">
        <v>150</v>
      </c>
      <c r="J853">
        <f>IF(B887=1,-100,100)</f>
        <v>100</v>
      </c>
      <c r="M853" s="49" t="s">
        <v>151</v>
      </c>
      <c r="N853">
        <f>IF(B885&gt;=24,100,
IF(B885&gt;=12,80,
IF(B885&gt;=6,60,40)))</f>
        <v>100</v>
      </c>
    </row>
    <row r="854" spans="1:38" ht="14.65" thickBot="1">
      <c r="A854" s="24" t="s">
        <v>152</v>
      </c>
      <c r="B854" s="72">
        <v>7.4999999999999997E-2</v>
      </c>
      <c r="C854" s="217">
        <f>+B854*J855</f>
        <v>7.5</v>
      </c>
      <c r="E854" s="49" t="s">
        <v>153</v>
      </c>
      <c r="F854">
        <f>IF(B878&lt;0.1,100,IF(B878&lt;0.2,70,IF(B878&lt;0.3,50,IF(B878&lt;0.4,30,IF(B878&lt;0.5,20,IF(B878&gt;0.5,0,))))))</f>
        <v>0</v>
      </c>
      <c r="G854" s="7"/>
      <c r="I854" s="49" t="s">
        <v>154</v>
      </c>
      <c r="J854">
        <f>IF(B897="NO FACHADA",100,-50)</f>
        <v>100</v>
      </c>
      <c r="M854" s="49" t="s">
        <v>155</v>
      </c>
      <c r="N854">
        <f>IF(B882&gt;0.2,100,
IF(B882&gt;0.1,80,
IF(B882&gt;0,40,IF(B882&gt;-0.05,0,-40))))</f>
        <v>0</v>
      </c>
    </row>
    <row r="855" spans="1:38" ht="15" thickTop="1" thickBot="1">
      <c r="A855" s="24" t="s">
        <v>156</v>
      </c>
      <c r="B855" s="72">
        <v>7.4999999999999997E-2</v>
      </c>
      <c r="C855" s="217">
        <f>+B855*J861</f>
        <v>7.5</v>
      </c>
      <c r="E855" s="49" t="str">
        <f>+A911</f>
        <v>Activo VS ventas anuales</v>
      </c>
      <c r="F855">
        <f>IF(B911&lt;0.1,100,
IF(B911&lt;0.2,80,
IF(B911&lt;0.3,40,IF(B911&lt;0.5,20,IF(B911&lt;0.7,0,-40)))))</f>
        <v>100</v>
      </c>
      <c r="G855" s="7"/>
      <c r="J855" s="215">
        <f>AVERAGE(J852,J853,J854)</f>
        <v>100</v>
      </c>
      <c r="M855" s="49" t="s">
        <v>402</v>
      </c>
      <c r="N855" s="441">
        <f>+D883</f>
        <v>-20</v>
      </c>
    </row>
    <row r="856" spans="1:38" ht="15" thickTop="1" thickBot="1">
      <c r="A856" s="50" t="s">
        <v>158</v>
      </c>
      <c r="B856" s="368">
        <v>0.25</v>
      </c>
      <c r="C856" s="217">
        <f>+B856*F861</f>
        <v>12.75</v>
      </c>
      <c r="D856" s="217">
        <f>+B856*G861</f>
        <v>25</v>
      </c>
      <c r="F856" s="215">
        <f>F852*0.4 + F853*0.3 + F854*0.15+F855*0.15</f>
        <v>85</v>
      </c>
      <c r="G856" s="7"/>
      <c r="M856" s="49" t="s">
        <v>157</v>
      </c>
      <c r="N856">
        <f>IF(B871&lt;30,100,IF(B871&lt;45,90,IF(B871&lt;60,75,IF(B871&lt;75,60,IF(B871&lt;90,40,20)))))</f>
        <v>100</v>
      </c>
    </row>
    <row r="857" spans="1:38" ht="16.149999999999999" thickBot="1">
      <c r="A857" s="377" t="s">
        <v>360</v>
      </c>
      <c r="B857" s="378">
        <f>+(C852+C853+C854+C855+C856)*10</f>
        <v>666.25</v>
      </c>
      <c r="I857" s="416" t="s">
        <v>160</v>
      </c>
      <c r="J857" s="416"/>
      <c r="M857" s="49" t="s">
        <v>159</v>
      </c>
      <c r="N857">
        <f>IF(AND(B872&gt;=30,B872&lt;=60),100,IF(OR(AND(B872&gt;=15,B872&lt;30),AND(B872&gt;60,B872&lt;=75)),70,20))</f>
        <v>20</v>
      </c>
    </row>
    <row r="858" spans="1:38" ht="16.149999999999999" thickBot="1">
      <c r="A858" s="44" t="s">
        <v>361</v>
      </c>
      <c r="B858" s="379">
        <f>+(C852+C853+C854+C855+D856)*10</f>
        <v>788.75</v>
      </c>
      <c r="C858" s="384" t="str">
        <f>IF(B858&gt;=850,"Excelente Candidato",
IF(B858&gt;=700,"Aprobación",
IF(B858&gt;=550,"Aprobar con Aval",
IF(B858&gt;=500,"Revisar con Obligado",IF(B858&gt;=400,"Solicitar Aval * Depósitos","Sugerenica Rechazo")))))</f>
        <v>Aprobación</v>
      </c>
      <c r="E858" s="417" t="s">
        <v>161</v>
      </c>
      <c r="F858" s="417"/>
      <c r="G858" s="23" t="s">
        <v>162</v>
      </c>
      <c r="I858" s="49" t="s">
        <v>163</v>
      </c>
      <c r="J858">
        <f>IF(B889&lt;1500,100,IF(B889&lt;2000,50,IF(B889&lt;2500,25,IF(B889&lt;3500,0,IF(B889&gt;=3500,-30,)))))</f>
        <v>100</v>
      </c>
      <c r="M858" s="49" t="str">
        <f>+A877</f>
        <v>Coeficiente Variacion Flujo</v>
      </c>
      <c r="N858">
        <f>IF(B867&lt;0,IF(B877&gt;2,-30,0),IF(B877&lt;1,100,IF(B877&lt;2,70,IF(B877&lt;3,40,IF(B877&lt;4,30,IF(B877&lt;5,0,-30))))))</f>
        <v>70</v>
      </c>
    </row>
    <row r="859" spans="1:38" ht="15" thickTop="1" thickBot="1">
      <c r="A859" s="8" t="s">
        <v>164</v>
      </c>
      <c r="B859" s="383" t="str">
        <f>IF(B858&gt;=850,"Muy poco riesgo",
IF(B858&gt;=700,"Riesgo Bajo",
IF(B858&gt;=600,"Riesgo aceptable",
IF(B858&gt;=500,"Riesgo Medio",IF(B858&gt;=400,"Riesgo Alto","Riesgo muy Alto")))))</f>
        <v>Riesgo Bajo</v>
      </c>
      <c r="C859" s="318" t="str">
        <f>+IF(B888="RECHAZAR","RECHAZAR",IF(B894="ALERTA","ALERTA","NO en listas negras"))</f>
        <v>NO en listas negras</v>
      </c>
      <c r="E859" s="49" t="s">
        <v>165</v>
      </c>
      <c r="F859">
        <f>IF(B895&gt;=330,100,IF(B895&gt;=300,80,IF(B895&gt;=270,72,IF(B895&gt;=240,68,IF(B895&gt;=220,64,IF(B895&gt;=200,40,IF(B895&gt;=180,10,IF(B895="",30,0))))))))</f>
        <v>30</v>
      </c>
      <c r="G859" s="2" t="s">
        <v>166</v>
      </c>
      <c r="I859" s="442" t="s">
        <v>403</v>
      </c>
      <c r="J859" s="23">
        <f>IF(B891&lt;0.025,100,IF(B891&lt;0.05,80,IF(B891&lt;0.075,50,IF(B891&lt;0.1,0,IF(B891&lt;0.15,-20,IF(B891&gt;0.25,-30,-40))))))</f>
        <v>100</v>
      </c>
      <c r="N859" s="357">
        <f>(N852*0.025)+(N853*0.025)+(N854*0.3)+(N855*0.15)+(N856*0.15)+(N857*0.1)+(N858*0.25)</f>
        <v>36.5</v>
      </c>
    </row>
    <row r="860" spans="1:38" ht="15" thickTop="1" thickBot="1">
      <c r="A860" s="8" t="s">
        <v>136</v>
      </c>
      <c r="B860" s="319" t="str">
        <f>+C910</f>
        <v>Suficiente</v>
      </c>
      <c r="C860" s="320" t="str">
        <f>+B897</f>
        <v>NO FACHADA</v>
      </c>
      <c r="E860" s="8" t="str">
        <f>+A873</f>
        <v>CxP / Flujo Operativo</v>
      </c>
      <c r="F860" s="23">
        <f>IF(B873&lt;=0, -30, IF(B873&lt;1, 100, IF(B873&lt;2, 70, IF(B873&lt;3, 40, IF(B873&lt;5, 30, 0)))))</f>
        <v>100</v>
      </c>
      <c r="G860" s="385">
        <f>IF(B867&lt;0, -20, IF(B873&lt;1, 100, IF(B873&lt;2, 70, IF(B873&lt;3, 40, IF(B873&lt;5, 30, 0)))))</f>
        <v>100</v>
      </c>
      <c r="I860" s="49" t="s">
        <v>168</v>
      </c>
      <c r="J860">
        <f>IF(B892&lt;0.05,100,
IF(B892&lt;0.1,80,IF(B892&lt;0.2,50,IF(B892&lt;0.4,0,-40))))</f>
        <v>100</v>
      </c>
      <c r="L860" t="s">
        <v>169</v>
      </c>
    </row>
    <row r="861" spans="1:38" ht="15" thickTop="1" thickBot="1">
      <c r="A861" s="8" t="s">
        <v>156</v>
      </c>
      <c r="B861" s="321" t="str">
        <f>+B890</f>
        <v>OK</v>
      </c>
      <c r="C861" s="322" t="str">
        <f>+C907</f>
        <v>Buen Flujo</v>
      </c>
      <c r="F861" s="214">
        <f>(F859*0.7)+(F860*0.3)</f>
        <v>51</v>
      </c>
      <c r="G861" s="214">
        <f>(G860*1)</f>
        <v>100</v>
      </c>
      <c r="J861" s="215">
        <f>AVERAGE(J858,J859,J860)</f>
        <v>100</v>
      </c>
      <c r="L861" t="s">
        <v>102</v>
      </c>
      <c r="M861" t="s">
        <v>103</v>
      </c>
    </row>
    <row r="862" spans="1:38">
      <c r="L862" t="s">
        <v>150</v>
      </c>
      <c r="M862" t="s">
        <v>170</v>
      </c>
    </row>
    <row r="863" spans="1:38" ht="21.4" thickBot="1">
      <c r="A863" s="51" t="s">
        <v>171</v>
      </c>
      <c r="B863" s="52" t="s">
        <v>172</v>
      </c>
      <c r="D863" s="53"/>
      <c r="L863" t="s">
        <v>173</v>
      </c>
      <c r="M863" t="s">
        <v>170</v>
      </c>
    </row>
    <row r="864" spans="1:38" ht="14.65" thickBot="1">
      <c r="A864" s="55" t="s">
        <v>174</v>
      </c>
      <c r="B864" s="56" t="s">
        <v>175</v>
      </c>
      <c r="C864" s="56" t="s">
        <v>176</v>
      </c>
      <c r="D864" s="56" t="s">
        <v>177</v>
      </c>
      <c r="E864" s="56" t="s">
        <v>178</v>
      </c>
      <c r="L864" t="s">
        <v>179</v>
      </c>
      <c r="M864" t="s">
        <v>170</v>
      </c>
    </row>
    <row r="865" spans="1:13">
      <c r="A865" t="s">
        <v>180</v>
      </c>
      <c r="B865" s="358">
        <f>AVERAGE(C845:N845)</f>
        <v>5847737.0049999999</v>
      </c>
      <c r="C865" s="359">
        <f>AVERAGE(C845:AL845)</f>
        <v>2119284.6222222224</v>
      </c>
      <c r="D865" s="2" t="str">
        <f>IF(B865/B866&gt;1.5,"Bien",IF(B865/B866&gt;1.3,"Ok",IF(B865/B866&gt;1.2,"Revisar",IF(B865/B866&gt;1.15,"Muy Bajo","Alerta"))))</f>
        <v>Bien</v>
      </c>
      <c r="E865" s="57" t="s">
        <v>181</v>
      </c>
      <c r="L865" t="s">
        <v>182</v>
      </c>
      <c r="M865" t="s">
        <v>183</v>
      </c>
    </row>
    <row r="866" spans="1:13">
      <c r="A866" t="s">
        <v>184</v>
      </c>
      <c r="B866" s="358">
        <f>AVERAGE(C846:N846)</f>
        <v>3695354.5358333332</v>
      </c>
      <c r="C866" s="359">
        <f>AVERAGE(C846:AL846)</f>
        <v>1412444.2275</v>
      </c>
      <c r="D866" s="53" t="str">
        <f>IF(B866/B865&lt;0.6,"Bien",IF(B866/B865&lt;0.76,"Ok",IF(B866/B865&lt;0.8,"Revisar",IF(B866/B865&lt;0.89,"Riesgo","Alerta"))))</f>
        <v>Ok</v>
      </c>
      <c r="E866" s="57" t="s">
        <v>185</v>
      </c>
      <c r="L866" t="s">
        <v>186</v>
      </c>
      <c r="M866" t="s">
        <v>183</v>
      </c>
    </row>
    <row r="867" spans="1:13">
      <c r="A867" t="s">
        <v>187</v>
      </c>
      <c r="B867" s="358">
        <f>AVERAGE(C847:N847)</f>
        <v>3086237.1650000005</v>
      </c>
      <c r="C867" s="359">
        <f>AVERAGE(C847:AL847)</f>
        <v>1114048.1291666669</v>
      </c>
      <c r="D867" s="53" t="str">
        <f>IF(B867/B906&gt;2,"Bien",IF(B867/B906&gt;1.5,"Ok",IF(B867/B906&gt;1.2,"Revisión","Alerta")))</f>
        <v>Bien</v>
      </c>
      <c r="E867" s="57" t="s">
        <v>188</v>
      </c>
    </row>
    <row r="868" spans="1:13">
      <c r="A868" t="s">
        <v>189</v>
      </c>
      <c r="B868" s="359">
        <f>B867*IF(B867&gt;=0, B916, 1+(1-B916))</f>
        <v>2160366.0155000002</v>
      </c>
      <c r="C868" s="359">
        <f>C867*IF(C867&gt;=0, B916, 1+(1-B916))</f>
        <v>779833.6904166668</v>
      </c>
      <c r="D868" s="2" t="str">
        <f>IF(B868/B906&gt;2,"Bien",IF(B868/B906&gt;1.5,"Ok",IF(B868/B906&gt;1.2,"Revisión","Alerta")))</f>
        <v>Bien</v>
      </c>
      <c r="E868" s="57" t="s">
        <v>190</v>
      </c>
    </row>
    <row r="869" spans="1:13">
      <c r="A869" t="s">
        <v>191</v>
      </c>
      <c r="B869" s="358">
        <f>AVERAGE(C848:N848)</f>
        <v>175279.17916666667</v>
      </c>
      <c r="C869" s="359">
        <f>AVERAGE(C848:AL848)</f>
        <v>59461.116388888884</v>
      </c>
      <c r="E869" s="9" t="s">
        <v>192</v>
      </c>
    </row>
    <row r="870" spans="1:13">
      <c r="A870" t="s">
        <v>193</v>
      </c>
      <c r="B870" s="358">
        <f>AVERAGE(C849:N849)</f>
        <v>947168.15</v>
      </c>
      <c r="C870" s="359">
        <f>AVERAGE(C849:AL849)</f>
        <v>315722.71666666667</v>
      </c>
      <c r="E870" s="9" t="s">
        <v>194</v>
      </c>
    </row>
    <row r="871" spans="1:13">
      <c r="A871" t="s">
        <v>195</v>
      </c>
      <c r="B871" s="360">
        <f>+(B869/B865)*30</f>
        <v>0.89921543504845081</v>
      </c>
      <c r="C871" s="360">
        <f>+(C869/C865)*30</f>
        <v>0.84171492255541813</v>
      </c>
      <c r="D871" s="10" t="str">
        <f>+IF(B871&gt;B872,"Financia a Proveedores", "Proveedores la Financian")</f>
        <v>Proveedores la Financian</v>
      </c>
      <c r="E871" s="9" t="s">
        <v>196</v>
      </c>
    </row>
    <row r="872" spans="1:13">
      <c r="A872" t="s">
        <v>197</v>
      </c>
      <c r="B872" s="360">
        <f>+(B870/B866)*30</f>
        <v>7.6893960307362423</v>
      </c>
      <c r="C872" s="360">
        <f>+(C870/C866)*30</f>
        <v>6.705880002614121</v>
      </c>
      <c r="D872" s="10" t="str">
        <f>+IF(B872&gt;B871,"Proveedores la Financian","Financia a Proveedores")</f>
        <v>Proveedores la Financian</v>
      </c>
      <c r="E872" s="9" t="s">
        <v>196</v>
      </c>
    </row>
    <row r="873" spans="1:13">
      <c r="A873" t="s">
        <v>198</v>
      </c>
      <c r="B873" s="208">
        <f>+((B870*4.5)/(B867*12))</f>
        <v>0.11508773864759028</v>
      </c>
      <c r="C873" s="208">
        <f>+(C870*4.5)/(C867*12)</f>
        <v>0.10627549712646876</v>
      </c>
      <c r="D873" s="59">
        <f>IF(B873&lt;=0,"ALERTA",(B870*4.5)/(B867*12))</f>
        <v>0.11508773864759028</v>
      </c>
      <c r="E873" s="57" t="s">
        <v>346</v>
      </c>
      <c r="I873" t="s">
        <v>199</v>
      </c>
    </row>
    <row r="874" spans="1:13">
      <c r="A874" t="s">
        <v>200</v>
      </c>
      <c r="B874" s="427"/>
      <c r="C874" s="360"/>
      <c r="E874" t="s">
        <v>201</v>
      </c>
    </row>
    <row r="875" spans="1:13">
      <c r="A875" t="s">
        <v>202</v>
      </c>
      <c r="B875" s="60">
        <f>(B867/B865)</f>
        <v>0.52776606785858704</v>
      </c>
      <c r="C875" s="60">
        <f>(C867/C865)</f>
        <v>0.52567178447154839</v>
      </c>
      <c r="D875" s="2">
        <f>IF(B875&lt;=0,"ALERTA",(B872*4.5)/(B869*12))</f>
        <v>1.6451032719546526E-5</v>
      </c>
      <c r="E875" s="57" t="s">
        <v>203</v>
      </c>
    </row>
    <row r="876" spans="1:13">
      <c r="A876" t="s">
        <v>362</v>
      </c>
      <c r="B876" s="381">
        <f>_xlfn.STDEV.P(C847:N847)</f>
        <v>4523288.378875412</v>
      </c>
      <c r="C876" s="381">
        <f>_xlfn.STDEV.P(C847:AL847)</f>
        <v>2985228.8724900289</v>
      </c>
      <c r="E876" s="57" t="s">
        <v>204</v>
      </c>
    </row>
    <row r="877" spans="1:13">
      <c r="A877" t="s">
        <v>205</v>
      </c>
      <c r="B877" s="382">
        <f>ABS(B876/B867)</f>
        <v>1.4656321394131779</v>
      </c>
      <c r="C877" s="366">
        <f>C876/C867</f>
        <v>2.6796228945001213</v>
      </c>
      <c r="D877" s="57"/>
      <c r="E877" s="57" t="s">
        <v>370</v>
      </c>
    </row>
    <row r="878" spans="1:13">
      <c r="A878" t="s">
        <v>371</v>
      </c>
      <c r="B878" s="60">
        <f>(B876/B865)</f>
        <v>0.77351091114526138</v>
      </c>
      <c r="C878" s="60">
        <f>+(C876/C865)</f>
        <v>1.4086021486626943</v>
      </c>
      <c r="D878" s="2" t="str">
        <f>+IF(B878&lt;20%,"Estables",IF(B878&lt;40%,"Normal",IF(B878&gt;40%,"Volatil")))</f>
        <v>Volatil</v>
      </c>
      <c r="E878" s="57" t="s">
        <v>207</v>
      </c>
    </row>
    <row r="879" spans="1:13">
      <c r="A879" t="s">
        <v>208</v>
      </c>
      <c r="B879" s="361">
        <f>COUNTIF(E845:P845,"&gt;0")</f>
        <v>12</v>
      </c>
      <c r="C879" s="362">
        <f>COUNTIF(E845:AN845,"&gt;0")</f>
        <v>16</v>
      </c>
      <c r="E879" s="57" t="s">
        <v>209</v>
      </c>
    </row>
    <row r="880" spans="1:13">
      <c r="A880" t="s">
        <v>210</v>
      </c>
      <c r="B880" s="363">
        <f>B879/12</f>
        <v>1</v>
      </c>
      <c r="C880" s="363">
        <f>C879/36</f>
        <v>0.44444444444444442</v>
      </c>
      <c r="D880" s="2" t="str">
        <f>+IF(B880&gt;90%,"Estable",IF(B880&gt;50%,"Intermitente",IF(B880&lt;50%,"Riesgoso")))</f>
        <v>Estable</v>
      </c>
      <c r="E880" s="57" t="s">
        <v>211</v>
      </c>
    </row>
    <row r="881" spans="1:9">
      <c r="A881" s="203"/>
      <c r="B881" s="204"/>
      <c r="C881" s="204"/>
      <c r="D881" s="205"/>
      <c r="E881" s="206"/>
    </row>
    <row r="882" spans="1:9">
      <c r="A882" t="s">
        <v>212</v>
      </c>
      <c r="B882" s="60">
        <f>AVERAGE(C845:H845)/AVERAGE(I845:N845)-1</f>
        <v>-2.4085273941621521E-2</v>
      </c>
      <c r="C882" s="60" t="e">
        <f>AVERAGE(C845:T845)/AVERAGE(U845:AL845)-1</f>
        <v>#DIV/0!</v>
      </c>
      <c r="D882" s="59" t="str">
        <f>+IF(B882&gt;15%,"Bueno",IF(B882&gt;5%,"Estable",IF(B882&gt;1%,"Bajo",IF(B882&gt;-10%,"Alerta","Deterioro"))))</f>
        <v>Alerta</v>
      </c>
      <c r="E882" s="9" t="s">
        <v>213</v>
      </c>
    </row>
    <row r="883" spans="1:9" ht="14.65" thickBot="1">
      <c r="A883" s="23" t="s">
        <v>401</v>
      </c>
      <c r="B883" s="439">
        <f>AVERAGE(C846:H846)/AVERAGE(I846:N846)-1</f>
        <v>0.29198407204256327</v>
      </c>
      <c r="C883" s="439">
        <f>AVERAGE(C846:T846)/AVERAGE(U846:AL846)-1</f>
        <v>201.03966245928717</v>
      </c>
      <c r="D883" s="440">
        <f>IF(B883&gt;B882,-20,IF(B883&lt;0,100,IF(B883&lt;=B882*0.5,80,IF(B883&lt;=B882,60,30))))</f>
        <v>-20</v>
      </c>
    </row>
    <row r="884" spans="1:9" ht="14.65" thickBot="1">
      <c r="A884" s="55" t="s">
        <v>214</v>
      </c>
      <c r="B884" s="61" t="s">
        <v>215</v>
      </c>
      <c r="C884" s="56" t="s">
        <v>178</v>
      </c>
      <c r="D884" s="411"/>
    </row>
    <row r="885" spans="1:9">
      <c r="A885" s="16" t="s">
        <v>216</v>
      </c>
      <c r="B885" s="62">
        <v>36</v>
      </c>
      <c r="C885" s="1" t="s">
        <v>217</v>
      </c>
    </row>
    <row r="886" spans="1:9">
      <c r="A886" s="3" t="s">
        <v>218</v>
      </c>
      <c r="B886" s="25">
        <v>36</v>
      </c>
      <c r="C886" s="1" t="s">
        <v>219</v>
      </c>
    </row>
    <row r="887" spans="1:9">
      <c r="A887" s="3" t="s">
        <v>220</v>
      </c>
      <c r="B887" s="25">
        <v>0</v>
      </c>
      <c r="C887" s="1" t="s">
        <v>221</v>
      </c>
    </row>
    <row r="888" spans="1:9">
      <c r="A888" s="3" t="s">
        <v>222</v>
      </c>
      <c r="B888" s="4" t="str">
        <f>IF(B887=1,"RECHAZAR","NO")</f>
        <v>NO</v>
      </c>
      <c r="C888" s="1" t="s">
        <v>223</v>
      </c>
    </row>
    <row r="889" spans="1:9">
      <c r="A889" s="3" t="s">
        <v>224</v>
      </c>
      <c r="B889" s="65">
        <v>447</v>
      </c>
      <c r="C889" s="1" t="s">
        <v>225</v>
      </c>
    </row>
    <row r="890" spans="1:9">
      <c r="A890" s="3" t="s">
        <v>226</v>
      </c>
      <c r="B890" s="323" t="str">
        <f>IF(B889&gt;1500,"ALERTA CONCENTRACION","OK")</f>
        <v>OK</v>
      </c>
      <c r="C890" s="1" t="s">
        <v>227</v>
      </c>
    </row>
    <row r="891" spans="1:9">
      <c r="A891" s="443" t="s">
        <v>403</v>
      </c>
      <c r="B891" s="66">
        <v>0.01</v>
      </c>
      <c r="C891" s="1" t="s">
        <v>229</v>
      </c>
    </row>
    <row r="892" spans="1:9">
      <c r="A892" s="3" t="s">
        <v>230</v>
      </c>
      <c r="B892" s="66">
        <v>0</v>
      </c>
      <c r="C892" s="1" t="s">
        <v>231</v>
      </c>
    </row>
    <row r="893" spans="1:9">
      <c r="A893" s="3" t="s">
        <v>232</v>
      </c>
      <c r="B893" s="67">
        <v>0.01</v>
      </c>
      <c r="C893" s="1" t="s">
        <v>233</v>
      </c>
    </row>
    <row r="894" spans="1:9">
      <c r="A894" s="3" t="s">
        <v>234</v>
      </c>
      <c r="B894" s="68" t="str">
        <f>IF(B893&gt;0.2,"ALERTA","OK")</f>
        <v>OK</v>
      </c>
      <c r="C894" s="1" t="s">
        <v>177</v>
      </c>
    </row>
    <row r="895" spans="1:9">
      <c r="A895" s="3" t="s">
        <v>235</v>
      </c>
      <c r="B895" s="69"/>
      <c r="C895" s="1" t="s">
        <v>372</v>
      </c>
      <c r="I895" t="s">
        <v>373</v>
      </c>
    </row>
    <row r="896" spans="1:9">
      <c r="A896" s="3" t="s">
        <v>236</v>
      </c>
      <c r="B896" s="68" t="str">
        <f>IF(B895&gt;175,"NO",IF(B895="","Sin Buró","RECHAZAR"))</f>
        <v>Sin Buró</v>
      </c>
      <c r="C896" s="1" t="s">
        <v>177</v>
      </c>
    </row>
    <row r="897" spans="1:7" ht="14.65" thickBot="1">
      <c r="A897" s="6" t="s">
        <v>237</v>
      </c>
      <c r="B897" s="380" t="str">
        <f>IF(AND(B893&gt;0.1, B882&gt;0.5, B889&gt;3500),"Fachada RECHAZAR","NO FACHADA")</f>
        <v>NO FACHADA</v>
      </c>
      <c r="C897" s="1" t="s">
        <v>238</v>
      </c>
    </row>
    <row r="898" spans="1:7" ht="14.65" thickBot="1">
      <c r="A898" s="3" t="s">
        <v>239</v>
      </c>
      <c r="B898" s="69">
        <v>646</v>
      </c>
    </row>
    <row r="899" spans="1:7" ht="14.65" thickBot="1">
      <c r="A899" s="412" t="s">
        <v>240</v>
      </c>
      <c r="B899" s="413"/>
      <c r="C899" s="56" t="s">
        <v>177</v>
      </c>
      <c r="D899" s="56" t="s">
        <v>178</v>
      </c>
    </row>
    <row r="900" spans="1:7">
      <c r="A900" s="16" t="s">
        <v>241</v>
      </c>
      <c r="B900" s="70">
        <f>778800+0+19115.38</f>
        <v>797915.38</v>
      </c>
      <c r="D900" s="1" t="s">
        <v>242</v>
      </c>
    </row>
    <row r="901" spans="1:7">
      <c r="A901" s="3" t="s">
        <v>243</v>
      </c>
      <c r="B901" s="71">
        <v>61016</v>
      </c>
      <c r="D901" s="1" t="s">
        <v>244</v>
      </c>
    </row>
    <row r="902" spans="1:7">
      <c r="A902" s="3" t="s">
        <v>245</v>
      </c>
      <c r="B902" s="71">
        <v>67137.929999999993</v>
      </c>
      <c r="D902" s="1" t="s">
        <v>245</v>
      </c>
    </row>
    <row r="903" spans="1:7">
      <c r="A903" s="3" t="s">
        <v>246</v>
      </c>
      <c r="B903" s="251">
        <f>B900-B901</f>
        <v>736899.38</v>
      </c>
      <c r="D903" s="1" t="s">
        <v>247</v>
      </c>
    </row>
    <row r="904" spans="1:7">
      <c r="A904" s="3" t="s">
        <v>248</v>
      </c>
      <c r="B904" s="25">
        <v>36</v>
      </c>
    </row>
    <row r="905" spans="1:7">
      <c r="A905" s="3" t="s">
        <v>83</v>
      </c>
      <c r="B905" s="72">
        <f>+IF(B904&lt;24,30.2%,IF(B904&lt;36,26%,IF(B904&lt;48,24.55%,IF(B904&lt;60,23.82%,"0%"))))</f>
        <v>0.2455</v>
      </c>
      <c r="D905" s="73"/>
    </row>
    <row r="906" spans="1:7">
      <c r="A906" s="3" t="s">
        <v>249</v>
      </c>
      <c r="B906" s="216">
        <f>+PMT(B905/12,B904,-B903,B902)</f>
        <v>27843.98534671907</v>
      </c>
      <c r="C906" s="2" t="str">
        <f>IF(B907/B906&gt;2,"Bien",IF(B907/B906&gt;1.5,"Ok",IF(B907/B906&gt;1.2,"Alerta","Le falta Flujo")))</f>
        <v>Bien</v>
      </c>
      <c r="D906" s="1" t="s">
        <v>250</v>
      </c>
    </row>
    <row r="907" spans="1:7">
      <c r="A907" s="3" t="s">
        <v>189</v>
      </c>
      <c r="B907" s="216">
        <f>B868</f>
        <v>2160366.0155000002</v>
      </c>
      <c r="C907" s="2" t="str">
        <f>IF(B868/B906&gt;2,"Buen Flujo",IF(B868/B906&gt;1.5,"Ok Flujo",IF(B868/B906&gt;1.1,"Flujo muy Justo","Flujo Insuficiente")))</f>
        <v>Buen Flujo</v>
      </c>
      <c r="D907" s="1" t="s">
        <v>251</v>
      </c>
    </row>
    <row r="908" spans="1:7">
      <c r="A908" s="3" t="s">
        <v>252</v>
      </c>
      <c r="B908" s="364">
        <f>+(B907/B906)</f>
        <v>77.588247106104802</v>
      </c>
      <c r="C908" s="2" t="str">
        <f>+IF(B908&gt;1.5,"Comodo",IF(B908&gt;1.1,"Aceptable",IF(B908&lt;1.1,"Rechazo")))</f>
        <v>Comodo</v>
      </c>
      <c r="D908" t="s">
        <v>374</v>
      </c>
    </row>
    <row r="909" spans="1:7">
      <c r="A909" s="3" t="s">
        <v>253</v>
      </c>
      <c r="B909" s="289">
        <f>IF(B904&lt;=24,$B$584,IF(B904&lt;=36,$B$585,IF(B904&lt;=48,$B$586,$B$587)))</f>
        <v>2.75</v>
      </c>
      <c r="D909" t="s">
        <v>254</v>
      </c>
    </row>
    <row r="910" spans="1:7">
      <c r="A910" s="3" t="s">
        <v>255</v>
      </c>
      <c r="B910" s="365"/>
      <c r="C910" s="4" t="str">
        <f>IF(B908&gt;B909,"Suficiente",IF(B908&lt;1,"Negativo","AVAL"))</f>
        <v>Suficiente</v>
      </c>
      <c r="D910" t="s">
        <v>256</v>
      </c>
    </row>
    <row r="911" spans="1:7">
      <c r="A911" s="3" t="s">
        <v>257</v>
      </c>
      <c r="B911" s="72">
        <f>+B900/SUM(D845:O845)</f>
        <v>1.1112938041610051E-2</v>
      </c>
      <c r="C911" s="2" t="str">
        <f>IF(B911&lt;0.1,"Excelente",IF(B911&lt;0.2,"Bien",IF(B911&lt;0.3,"Ok",IF(B911&lt;0.6,"Revisar",IF(B911&lt;0.9,"Alerta","Sobrepasado")))))</f>
        <v>Excelente</v>
      </c>
      <c r="D911" t="s">
        <v>375</v>
      </c>
    </row>
    <row r="912" spans="1:7">
      <c r="A912" s="3" t="s">
        <v>258</v>
      </c>
      <c r="B912" s="216">
        <f>B907/B909</f>
        <v>785587.64200000011</v>
      </c>
      <c r="C912" s="74" t="str">
        <f>IF(B912/B906&gt;4,"Ok",IF(B912/B906&gt;2,"OK",IF((B912/B906)&gt;1.2,"Renta con Riesgo",IF(B912/B906&lt;1.1,"No Otorgar"))))</f>
        <v>Ok</v>
      </c>
      <c r="D912" t="s">
        <v>259</v>
      </c>
      <c r="G912">
        <f>+B912/B906</f>
        <v>28.213908038583565</v>
      </c>
    </row>
    <row r="913" spans="1:39" ht="14.65" thickBot="1">
      <c r="A913" s="6" t="s">
        <v>260</v>
      </c>
      <c r="B913" s="367">
        <f>IF(B907&lt;0, 0, PV(B905/12,B904,-B912))</f>
        <v>19877116.367007576</v>
      </c>
      <c r="C913" s="2" t="str">
        <f>+IF(B913/B900&gt;1,"Otorgar",IF(B913/B900&gt;0.75,"Revision","No Otorgar"))</f>
        <v>Otorgar</v>
      </c>
      <c r="D913" t="s">
        <v>261</v>
      </c>
    </row>
    <row r="914" spans="1:39" ht="14.65" thickBot="1"/>
    <row r="915" spans="1:39">
      <c r="A915" s="47" t="s">
        <v>262</v>
      </c>
      <c r="B915" s="48" t="s">
        <v>263</v>
      </c>
    </row>
    <row r="916" spans="1:39">
      <c r="A916" s="24" t="s">
        <v>264</v>
      </c>
      <c r="B916" s="25">
        <v>0.7</v>
      </c>
      <c r="M916" t="s">
        <v>265</v>
      </c>
    </row>
    <row r="917" spans="1:39">
      <c r="A917" s="24" t="s">
        <v>80</v>
      </c>
      <c r="B917" s="25">
        <v>3</v>
      </c>
      <c r="D917" t="s">
        <v>254</v>
      </c>
    </row>
    <row r="918" spans="1:39">
      <c r="A918" s="24" t="s">
        <v>85</v>
      </c>
      <c r="B918" s="25">
        <v>2.75</v>
      </c>
      <c r="D918" t="s">
        <v>254</v>
      </c>
    </row>
    <row r="919" spans="1:39">
      <c r="A919" s="24" t="s">
        <v>87</v>
      </c>
      <c r="B919" s="25">
        <v>2.5</v>
      </c>
      <c r="D919" t="s">
        <v>254</v>
      </c>
    </row>
    <row r="920" spans="1:39">
      <c r="A920" s="24" t="s">
        <v>88</v>
      </c>
      <c r="B920" s="25">
        <v>2.25</v>
      </c>
      <c r="D920" t="s">
        <v>254</v>
      </c>
    </row>
    <row r="921" spans="1:39">
      <c r="A921" s="24" t="s">
        <v>266</v>
      </c>
      <c r="B921" s="25">
        <v>6</v>
      </c>
      <c r="D921" t="s">
        <v>267</v>
      </c>
    </row>
    <row r="922" spans="1:39">
      <c r="A922" s="24" t="s">
        <v>268</v>
      </c>
      <c r="B922" s="25">
        <v>-10</v>
      </c>
      <c r="D922" t="s">
        <v>269</v>
      </c>
    </row>
    <row r="923" spans="1:39" ht="14.65" thickBot="1">
      <c r="A923" s="50" t="s">
        <v>270</v>
      </c>
      <c r="B923" s="75">
        <v>-30</v>
      </c>
      <c r="D923" t="s">
        <v>271</v>
      </c>
    </row>
    <row r="924" spans="1:39" ht="14.65" thickBot="1"/>
    <row r="925" spans="1:39" ht="27" thickBot="1">
      <c r="A925" s="453" t="s">
        <v>405</v>
      </c>
      <c r="B925" s="454"/>
      <c r="C925" s="454"/>
      <c r="D925" s="454"/>
      <c r="E925" s="454"/>
      <c r="F925" s="388"/>
      <c r="G925" s="388"/>
      <c r="H925" s="389"/>
      <c r="I925" s="386"/>
      <c r="J925" s="386"/>
      <c r="K925" s="386"/>
      <c r="L925" s="386"/>
      <c r="M925" s="386"/>
      <c r="N925" s="386"/>
      <c r="O925" s="386"/>
      <c r="P925" s="386"/>
      <c r="Q925" s="386"/>
      <c r="R925" s="386"/>
      <c r="S925" s="386"/>
      <c r="T925" s="386"/>
      <c r="U925" s="386"/>
      <c r="V925" s="386"/>
      <c r="W925" s="386"/>
      <c r="X925" s="386"/>
      <c r="Y925" s="386"/>
      <c r="Z925" s="386"/>
      <c r="AA925" s="386"/>
      <c r="AB925" s="386"/>
      <c r="AC925" s="386"/>
      <c r="AD925" s="386"/>
      <c r="AE925" s="386"/>
      <c r="AF925" s="386"/>
      <c r="AG925" s="386"/>
      <c r="AH925" s="386"/>
      <c r="AI925" s="386"/>
      <c r="AJ925" s="386"/>
      <c r="AK925" s="386"/>
      <c r="AL925" s="390"/>
    </row>
    <row r="926" spans="1:39" ht="14.65" thickBot="1">
      <c r="A926" s="30" t="s">
        <v>131</v>
      </c>
      <c r="C926" s="31">
        <v>46143</v>
      </c>
      <c r="D926" s="31">
        <v>46113</v>
      </c>
      <c r="E926" s="31">
        <v>46054</v>
      </c>
      <c r="F926" s="31">
        <f>+E926-1</f>
        <v>46053</v>
      </c>
      <c r="G926" s="31">
        <f>+F926-1</f>
        <v>46052</v>
      </c>
      <c r="H926" s="31">
        <f t="shared" ref="H926" si="264">+G926-1</f>
        <v>46051</v>
      </c>
      <c r="I926" s="31">
        <f t="shared" ref="I926" si="265">+H926-1</f>
        <v>46050</v>
      </c>
      <c r="J926" s="31">
        <f t="shared" ref="J926" si="266">+I926-1</f>
        <v>46049</v>
      </c>
      <c r="K926" s="31">
        <f t="shared" ref="K926" si="267">+J926-1</f>
        <v>46048</v>
      </c>
      <c r="L926" s="31">
        <f t="shared" ref="L926" si="268">+K926-1</f>
        <v>46047</v>
      </c>
      <c r="M926" s="31">
        <f t="shared" ref="M926" si="269">+L926-1</f>
        <v>46046</v>
      </c>
      <c r="N926" s="31">
        <f t="shared" ref="N926" si="270">+M926-1</f>
        <v>46045</v>
      </c>
      <c r="O926" s="31">
        <f t="shared" ref="O926" si="271">+N926-1</f>
        <v>46044</v>
      </c>
      <c r="P926" s="31">
        <f t="shared" ref="P926" si="272">+O926-1</f>
        <v>46043</v>
      </c>
      <c r="Q926" s="31">
        <f t="shared" ref="Q926" si="273">+P926-1</f>
        <v>46042</v>
      </c>
      <c r="R926" s="31">
        <f t="shared" ref="R926" si="274">+Q926-1</f>
        <v>46041</v>
      </c>
      <c r="S926" s="31">
        <f t="shared" ref="S926" si="275">+R926-1</f>
        <v>46040</v>
      </c>
      <c r="T926" s="31">
        <f t="shared" ref="T926" si="276">+S926-1</f>
        <v>46039</v>
      </c>
      <c r="U926" s="31">
        <f t="shared" ref="U926" si="277">+T926-1</f>
        <v>46038</v>
      </c>
      <c r="V926" s="31">
        <f t="shared" ref="V926" si="278">+U926-1</f>
        <v>46037</v>
      </c>
      <c r="W926" s="31">
        <f t="shared" ref="W926" si="279">+V926-1</f>
        <v>46036</v>
      </c>
      <c r="X926" s="31">
        <f t="shared" ref="X926" si="280">+W926-1</f>
        <v>46035</v>
      </c>
      <c r="Y926" s="31">
        <f t="shared" ref="Y926" si="281">+X926-1</f>
        <v>46034</v>
      </c>
      <c r="Z926" s="31">
        <f t="shared" ref="Z926" si="282">+Y926-1</f>
        <v>46033</v>
      </c>
      <c r="AA926" s="31">
        <f t="shared" ref="AA926" si="283">+Z926-1</f>
        <v>46032</v>
      </c>
      <c r="AB926" s="31">
        <f t="shared" ref="AB926" si="284">+AA926-1</f>
        <v>46031</v>
      </c>
      <c r="AC926" s="31">
        <f t="shared" ref="AC926" si="285">+AB926-1</f>
        <v>46030</v>
      </c>
      <c r="AD926" s="31">
        <f t="shared" ref="AD926" si="286">+AC926-1</f>
        <v>46029</v>
      </c>
      <c r="AE926" s="31">
        <f t="shared" ref="AE926" si="287">+AD926-1</f>
        <v>46028</v>
      </c>
      <c r="AF926" s="31">
        <f t="shared" ref="AF926" si="288">+AE926-1</f>
        <v>46027</v>
      </c>
      <c r="AG926" s="31">
        <f t="shared" ref="AG926" si="289">+AF926-1</f>
        <v>46026</v>
      </c>
      <c r="AH926" s="31">
        <f t="shared" ref="AH926" si="290">+AG926-1</f>
        <v>46025</v>
      </c>
      <c r="AI926" s="31">
        <f t="shared" ref="AI926" si="291">+AH926-1</f>
        <v>46024</v>
      </c>
      <c r="AJ926" s="31">
        <f t="shared" ref="AJ926" si="292">+AI926-1</f>
        <v>46023</v>
      </c>
      <c r="AK926" s="31">
        <f t="shared" ref="AK926" si="293">+AJ926-1</f>
        <v>46022</v>
      </c>
      <c r="AL926" s="31">
        <f t="shared" ref="AL926" si="294">+AK926-1</f>
        <v>46021</v>
      </c>
    </row>
    <row r="927" spans="1:39" ht="14.65" thickBot="1">
      <c r="A927" s="32" t="s">
        <v>132</v>
      </c>
      <c r="C927" s="33">
        <v>1</v>
      </c>
      <c r="D927" s="34">
        <v>2</v>
      </c>
      <c r="E927" s="34">
        <v>3</v>
      </c>
      <c r="F927" s="34">
        <v>4</v>
      </c>
      <c r="G927" s="34">
        <v>5</v>
      </c>
      <c r="H927" s="34">
        <v>6</v>
      </c>
      <c r="I927" s="34">
        <v>7</v>
      </c>
      <c r="J927" s="34">
        <v>8</v>
      </c>
      <c r="K927" s="34">
        <v>9</v>
      </c>
      <c r="L927" s="34">
        <v>10</v>
      </c>
      <c r="M927" s="34">
        <v>11</v>
      </c>
      <c r="N927" s="34">
        <v>12</v>
      </c>
      <c r="O927" s="34">
        <v>13</v>
      </c>
      <c r="P927" s="34">
        <v>14</v>
      </c>
      <c r="Q927" s="34">
        <v>15</v>
      </c>
      <c r="R927" s="34">
        <v>16</v>
      </c>
      <c r="S927" s="34">
        <v>17</v>
      </c>
      <c r="T927" s="34">
        <v>18</v>
      </c>
      <c r="U927" s="34">
        <v>19</v>
      </c>
      <c r="V927" s="34">
        <v>20</v>
      </c>
      <c r="W927" s="34">
        <v>21</v>
      </c>
      <c r="X927" s="34">
        <v>22</v>
      </c>
      <c r="Y927" s="34">
        <v>23</v>
      </c>
      <c r="Z927" s="34">
        <v>24</v>
      </c>
      <c r="AA927" s="34">
        <v>25</v>
      </c>
      <c r="AB927" s="34">
        <v>26</v>
      </c>
      <c r="AC927" s="34">
        <v>27</v>
      </c>
      <c r="AD927" s="34">
        <v>28</v>
      </c>
      <c r="AE927" s="34">
        <v>29</v>
      </c>
      <c r="AF927" s="34">
        <v>30</v>
      </c>
      <c r="AG927" s="34">
        <v>31</v>
      </c>
      <c r="AH927" s="34">
        <v>32</v>
      </c>
      <c r="AI927" s="34">
        <v>33</v>
      </c>
      <c r="AJ927" s="34">
        <v>34</v>
      </c>
      <c r="AK927" s="34">
        <v>35</v>
      </c>
      <c r="AL927" s="35">
        <v>36</v>
      </c>
      <c r="AM927">
        <v>37</v>
      </c>
    </row>
    <row r="928" spans="1:39" ht="14.25" customHeight="1">
      <c r="A928" s="36" t="s">
        <v>133</v>
      </c>
      <c r="B928" s="418" t="s">
        <v>134</v>
      </c>
      <c r="C928" s="37">
        <v>68175</v>
      </c>
      <c r="D928" s="37">
        <v>108835</v>
      </c>
      <c r="E928" s="37">
        <v>108835</v>
      </c>
      <c r="F928" s="37">
        <v>67660</v>
      </c>
      <c r="G928" s="37">
        <v>67660</v>
      </c>
      <c r="H928" s="37">
        <v>137980</v>
      </c>
      <c r="I928" s="37">
        <v>0</v>
      </c>
      <c r="J928" s="37">
        <v>65000</v>
      </c>
      <c r="K928" s="37">
        <v>331000</v>
      </c>
      <c r="L928" s="37">
        <v>27000</v>
      </c>
      <c r="M928" s="37">
        <v>27000</v>
      </c>
      <c r="N928" s="37">
        <v>27000</v>
      </c>
      <c r="O928" s="37">
        <v>81000</v>
      </c>
      <c r="P928" s="37">
        <v>0</v>
      </c>
      <c r="Q928" s="37">
        <v>0</v>
      </c>
      <c r="R928" s="37">
        <v>27000</v>
      </c>
      <c r="S928" s="37">
        <v>65000</v>
      </c>
      <c r="T928" s="37">
        <v>51860</v>
      </c>
      <c r="U928" s="37">
        <v>51860</v>
      </c>
      <c r="V928" s="37">
        <v>51860</v>
      </c>
      <c r="W928" s="37">
        <v>51860</v>
      </c>
      <c r="X928" s="37">
        <v>51860</v>
      </c>
      <c r="Y928" s="37">
        <v>51860</v>
      </c>
      <c r="Z928" s="37">
        <v>51860</v>
      </c>
      <c r="AA928" s="37">
        <v>51860</v>
      </c>
      <c r="AB928" s="37">
        <v>51860</v>
      </c>
      <c r="AC928" s="37">
        <v>51860</v>
      </c>
      <c r="AD928" s="37">
        <v>89512.92</v>
      </c>
      <c r="AE928" s="37">
        <v>89512.92</v>
      </c>
      <c r="AF928" s="37">
        <v>89512.92</v>
      </c>
      <c r="AG928" s="37">
        <v>89512.92</v>
      </c>
      <c r="AH928" s="37">
        <v>89512.92</v>
      </c>
      <c r="AI928" s="37">
        <v>87189.65</v>
      </c>
      <c r="AJ928" s="37">
        <v>87189.65</v>
      </c>
      <c r="AK928" s="37">
        <v>87189.65</v>
      </c>
      <c r="AL928" s="37">
        <v>87189.65</v>
      </c>
    </row>
    <row r="929" spans="1:38">
      <c r="A929" s="36" t="s">
        <v>135</v>
      </c>
      <c r="B929" s="419"/>
      <c r="C929" s="39">
        <v>15000</v>
      </c>
      <c r="D929" s="39">
        <v>69004.070000000007</v>
      </c>
      <c r="E929" s="39">
        <v>60944.62</v>
      </c>
      <c r="F929" s="39">
        <v>39482.239999999998</v>
      </c>
      <c r="G929" s="39">
        <v>15005</v>
      </c>
      <c r="H929" s="39">
        <v>15005</v>
      </c>
      <c r="I929" s="39">
        <v>15010</v>
      </c>
      <c r="J929" s="39">
        <v>18681.88</v>
      </c>
      <c r="K929" s="39">
        <v>36504.6</v>
      </c>
      <c r="L929" s="39">
        <v>0</v>
      </c>
      <c r="M929" s="39">
        <v>2261.44</v>
      </c>
      <c r="N929" s="39">
        <v>30010</v>
      </c>
      <c r="O929" s="39">
        <v>10</v>
      </c>
      <c r="P929" s="39">
        <v>22372.19</v>
      </c>
      <c r="Q929" s="39">
        <v>14235.87</v>
      </c>
      <c r="R929" s="39">
        <v>41741.480000000003</v>
      </c>
      <c r="S929" s="39">
        <v>30010</v>
      </c>
      <c r="T929" s="39">
        <v>173298.35</v>
      </c>
      <c r="U929" s="39">
        <v>163176.67000000001</v>
      </c>
      <c r="V929" s="39">
        <v>15005</v>
      </c>
      <c r="W929" s="39">
        <v>20436.04</v>
      </c>
      <c r="X929" s="39">
        <v>17443.12</v>
      </c>
      <c r="Y929" s="39">
        <v>33752.410000000003</v>
      </c>
      <c r="Z929" s="39">
        <v>15005</v>
      </c>
      <c r="AA929" s="39">
        <v>15005</v>
      </c>
      <c r="AB929" s="39">
        <v>19535.05</v>
      </c>
      <c r="AC929" s="39">
        <v>15005</v>
      </c>
      <c r="AD929" s="39">
        <v>21486.68</v>
      </c>
      <c r="AE929" s="39">
        <v>15005</v>
      </c>
      <c r="AF929" s="39">
        <v>15005</v>
      </c>
      <c r="AG929" s="39">
        <v>23114.57</v>
      </c>
      <c r="AH929" s="39">
        <v>15005</v>
      </c>
      <c r="AI929" s="39">
        <v>15005</v>
      </c>
      <c r="AJ929" s="39">
        <v>18352.919999999998</v>
      </c>
      <c r="AK929" s="39">
        <v>20721.25</v>
      </c>
      <c r="AL929" s="39">
        <v>15025</v>
      </c>
    </row>
    <row r="930" spans="1:38">
      <c r="A930" s="36" t="s">
        <v>136</v>
      </c>
      <c r="B930" s="419"/>
      <c r="C930" s="39">
        <v>53175</v>
      </c>
      <c r="D930" s="39">
        <v>39830.93</v>
      </c>
      <c r="E930" s="39">
        <v>47277.89</v>
      </c>
      <c r="F930" s="39">
        <v>28177.759999999998</v>
      </c>
      <c r="G930" s="39">
        <v>52655</v>
      </c>
      <c r="H930" s="39">
        <v>84975</v>
      </c>
      <c r="I930" s="39">
        <v>29070</v>
      </c>
      <c r="J930" s="39">
        <v>46318.12</v>
      </c>
      <c r="K930" s="39">
        <v>294495.40000000002</v>
      </c>
      <c r="L930" s="39">
        <v>27000</v>
      </c>
      <c r="M930" s="39">
        <v>24738.560000000001</v>
      </c>
      <c r="N930" s="39">
        <v>-3010</v>
      </c>
      <c r="O930" s="39">
        <v>80990</v>
      </c>
      <c r="P930" s="39">
        <v>-22372.19</v>
      </c>
      <c r="Q930" s="39">
        <v>-14235.87</v>
      </c>
      <c r="R930" s="39">
        <v>-14741.48</v>
      </c>
      <c r="S930" s="39">
        <v>34990</v>
      </c>
      <c r="T930" s="39">
        <v>-121438.34</v>
      </c>
      <c r="U930" s="39">
        <v>-111316.67</v>
      </c>
      <c r="V930" s="39">
        <v>36855</v>
      </c>
      <c r="W930" s="39">
        <v>31423.96</v>
      </c>
      <c r="X930" s="39">
        <v>34416.879999999997</v>
      </c>
      <c r="Y930" s="39">
        <v>18107.59</v>
      </c>
      <c r="Z930" s="39">
        <v>36855</v>
      </c>
      <c r="AA930" s="39">
        <v>36855</v>
      </c>
      <c r="AB930" s="39">
        <v>32324.95</v>
      </c>
      <c r="AC930" s="39">
        <v>36855</v>
      </c>
      <c r="AD930" s="39">
        <v>68026.240000000005</v>
      </c>
      <c r="AE930" s="39">
        <v>74507.92</v>
      </c>
      <c r="AF930" s="39">
        <v>74507.92</v>
      </c>
      <c r="AG930" s="39">
        <v>66398.350000000006</v>
      </c>
      <c r="AH930" s="39">
        <v>74507.92</v>
      </c>
      <c r="AI930" s="39">
        <v>72184.649999999994</v>
      </c>
      <c r="AJ930" s="39">
        <v>68836.73</v>
      </c>
      <c r="AK930" s="39">
        <v>66468.399999999994</v>
      </c>
      <c r="AL930" s="39">
        <v>72164.649999999994</v>
      </c>
    </row>
    <row r="931" spans="1:38">
      <c r="A931" s="36" t="s">
        <v>137</v>
      </c>
      <c r="B931" s="419"/>
      <c r="C931" s="39">
        <v>0</v>
      </c>
      <c r="D931" s="39">
        <v>0</v>
      </c>
      <c r="E931" s="39">
        <v>0</v>
      </c>
      <c r="F931" s="39">
        <v>0</v>
      </c>
      <c r="G931" s="39">
        <v>0</v>
      </c>
      <c r="H931" s="39">
        <v>0</v>
      </c>
      <c r="I931" s="39">
        <v>0</v>
      </c>
      <c r="J931" s="39">
        <v>0</v>
      </c>
      <c r="K931" s="39">
        <v>0</v>
      </c>
      <c r="L931" s="39">
        <v>0</v>
      </c>
      <c r="M931" s="39">
        <v>0</v>
      </c>
      <c r="N931" s="39">
        <v>0</v>
      </c>
      <c r="O931" s="39">
        <v>0</v>
      </c>
      <c r="P931" s="39">
        <v>0</v>
      </c>
      <c r="Q931" s="39">
        <v>0</v>
      </c>
      <c r="R931" s="39">
        <v>0</v>
      </c>
      <c r="S931" s="39">
        <v>0</v>
      </c>
      <c r="T931" s="39">
        <v>0</v>
      </c>
      <c r="U931" s="39">
        <v>0</v>
      </c>
      <c r="V931" s="39">
        <v>0</v>
      </c>
      <c r="W931" s="39">
        <v>0</v>
      </c>
      <c r="X931" s="39">
        <v>0</v>
      </c>
      <c r="Y931" s="39">
        <v>0</v>
      </c>
      <c r="Z931" s="39">
        <v>0</v>
      </c>
      <c r="AA931" s="39">
        <v>0</v>
      </c>
      <c r="AB931" s="39">
        <v>0</v>
      </c>
      <c r="AC931" s="39">
        <v>0</v>
      </c>
      <c r="AD931" s="39">
        <v>0</v>
      </c>
      <c r="AE931" s="39">
        <v>0</v>
      </c>
      <c r="AF931" s="39">
        <v>0</v>
      </c>
      <c r="AG931" s="39">
        <v>0</v>
      </c>
      <c r="AH931" s="39">
        <v>0</v>
      </c>
      <c r="AI931" s="39">
        <v>0</v>
      </c>
      <c r="AJ931" s="39">
        <v>0</v>
      </c>
      <c r="AK931" s="39">
        <v>0</v>
      </c>
      <c r="AL931" s="39">
        <v>0</v>
      </c>
    </row>
    <row r="932" spans="1:38" ht="14.65" thickBot="1">
      <c r="A932" s="44" t="s">
        <v>138</v>
      </c>
      <c r="B932" s="420"/>
      <c r="C932" s="45">
        <v>0</v>
      </c>
      <c r="D932" s="45">
        <v>0</v>
      </c>
      <c r="E932" s="45">
        <v>0</v>
      </c>
      <c r="F932" s="45">
        <v>0</v>
      </c>
      <c r="G932" s="45">
        <v>0</v>
      </c>
      <c r="H932" s="45">
        <v>0</v>
      </c>
      <c r="I932" s="45">
        <v>0</v>
      </c>
      <c r="J932" s="45">
        <v>0</v>
      </c>
      <c r="K932" s="45">
        <v>0</v>
      </c>
      <c r="L932" s="45">
        <v>0</v>
      </c>
      <c r="M932" s="45">
        <v>0</v>
      </c>
      <c r="N932" s="45">
        <v>0</v>
      </c>
      <c r="O932" s="45">
        <v>0</v>
      </c>
      <c r="P932" s="45">
        <v>0</v>
      </c>
      <c r="Q932" s="45">
        <v>0</v>
      </c>
      <c r="R932" s="45">
        <v>0</v>
      </c>
      <c r="S932" s="45">
        <v>0</v>
      </c>
      <c r="T932" s="45">
        <v>0</v>
      </c>
      <c r="U932" s="45">
        <v>0</v>
      </c>
      <c r="V932" s="45">
        <v>0</v>
      </c>
      <c r="W932" s="45">
        <v>0</v>
      </c>
      <c r="X932" s="45">
        <v>0</v>
      </c>
      <c r="Y932" s="45">
        <v>0</v>
      </c>
      <c r="Z932" s="45">
        <v>0</v>
      </c>
      <c r="AA932" s="45">
        <v>0</v>
      </c>
      <c r="AB932" s="45">
        <v>0</v>
      </c>
      <c r="AC932" s="45">
        <v>0</v>
      </c>
      <c r="AD932" s="45">
        <v>0</v>
      </c>
      <c r="AE932" s="45">
        <v>0</v>
      </c>
      <c r="AF932" s="45">
        <v>0</v>
      </c>
      <c r="AG932" s="45">
        <v>0</v>
      </c>
      <c r="AH932" s="45">
        <v>0</v>
      </c>
      <c r="AI932" s="45">
        <v>0</v>
      </c>
      <c r="AJ932" s="45">
        <v>0</v>
      </c>
      <c r="AK932" s="45">
        <v>0</v>
      </c>
      <c r="AL932" s="45">
        <v>0</v>
      </c>
    </row>
    <row r="933" spans="1:38" ht="14.65" thickBot="1"/>
    <row r="934" spans="1:38">
      <c r="A934" s="47" t="s">
        <v>139</v>
      </c>
      <c r="B934" s="48" t="s">
        <v>140</v>
      </c>
      <c r="C934" t="s">
        <v>141</v>
      </c>
      <c r="E934" s="455" t="s">
        <v>142</v>
      </c>
      <c r="F934" s="455"/>
      <c r="I934" s="414" t="s">
        <v>143</v>
      </c>
      <c r="J934" s="414"/>
      <c r="M934" s="415" t="s">
        <v>144</v>
      </c>
      <c r="N934" s="415"/>
    </row>
    <row r="935" spans="1:38">
      <c r="A935" s="24" t="s">
        <v>145</v>
      </c>
      <c r="B935" s="72">
        <v>0.35</v>
      </c>
      <c r="C935" s="217">
        <f>+B935*F939</f>
        <v>10.5</v>
      </c>
      <c r="E935" s="49" t="s">
        <v>146</v>
      </c>
      <c r="F935" s="23">
        <f>IF(B991&gt;=(B992*1.5),100,IF(B991&gt;=(B992*1.3),80,IF(B991&gt;=(B992*1),50,IF(B991&gt;=(B992*0.75),30,IF(B991&gt;=(B992*0.5),15,IF(B991&gt;=(B992*0.25),10,IF(B991&gt;=(B992*0.1),0,-30)))))))</f>
        <v>15</v>
      </c>
      <c r="G935" s="7"/>
      <c r="I935" s="49" t="s">
        <v>147</v>
      </c>
      <c r="J935">
        <f>IF(B976&lt;0.02,100,IF(B976&lt;0.05,70,IF(B976&lt;0.1,40,0)))</f>
        <v>0</v>
      </c>
      <c r="M935" s="49" t="s">
        <v>148</v>
      </c>
      <c r="N935">
        <f>IF(B969&gt;=36,100,
IF(B969&gt;=24,80,
IF(B969&gt;=12,60,40)))</f>
        <v>100</v>
      </c>
    </row>
    <row r="936" spans="1:38">
      <c r="A936" s="24" t="s">
        <v>61</v>
      </c>
      <c r="B936" s="72">
        <v>0.25</v>
      </c>
      <c r="C936" s="217">
        <f>+B936*N942</f>
        <v>15.125</v>
      </c>
      <c r="E936" s="49" t="s">
        <v>149</v>
      </c>
      <c r="F936">
        <f>IF(B958&gt;0.3,100,IF(B958&gt;0.2,80,IF(B958&gt;0.15,60,IF(B958&gt;0.1,40,IF(B958&gt;0.05,20,IF(B958&gt;0,0,-20))))))</f>
        <v>100</v>
      </c>
      <c r="G936" s="7"/>
      <c r="I936" s="49" t="s">
        <v>150</v>
      </c>
      <c r="J936">
        <f>IF(B970=1,-100,100)</f>
        <v>100</v>
      </c>
      <c r="M936" s="49" t="s">
        <v>151</v>
      </c>
      <c r="N936">
        <f>IF(B968&gt;=24,100,
IF(B968&gt;=12,80,
IF(B968&gt;=6,60,40)))</f>
        <v>100</v>
      </c>
    </row>
    <row r="937" spans="1:38" ht="14.65" thickBot="1">
      <c r="A937" s="24" t="s">
        <v>152</v>
      </c>
      <c r="B937" s="72">
        <v>7.4999999999999997E-2</v>
      </c>
      <c r="C937" s="217">
        <f>+B937*J938</f>
        <v>5</v>
      </c>
      <c r="E937" s="49" t="s">
        <v>153</v>
      </c>
      <c r="F937">
        <f>IF(B961&lt;0.1,100,IF(B961&lt;0.2,70,IF(B961&lt;0.3,50,IF(B961&lt;0.4,30,IF(B961&lt;0.5,20,IF(B961&gt;0.5,0,))))))</f>
        <v>0</v>
      </c>
      <c r="G937" s="7"/>
      <c r="I937" s="49" t="s">
        <v>154</v>
      </c>
      <c r="J937">
        <f>IF(B980="NO FACHADA",100,-50)</f>
        <v>100</v>
      </c>
      <c r="M937" s="49" t="s">
        <v>155</v>
      </c>
      <c r="N937">
        <f>IF(B965&gt;0.2,100,
IF(B965&gt;0.1,80,
IF(B965&gt;0,40,IF(B965&gt;-0.05,0,-40))))</f>
        <v>80</v>
      </c>
    </row>
    <row r="938" spans="1:38" ht="15" thickTop="1" thickBot="1">
      <c r="A938" s="24" t="s">
        <v>156</v>
      </c>
      <c r="B938" s="72">
        <v>7.4999999999999997E-2</v>
      </c>
      <c r="C938" s="217">
        <f>+B938*J944</f>
        <v>3.75</v>
      </c>
      <c r="E938" s="49" t="str">
        <f>+A994</f>
        <v>Activo VS ventas anuales</v>
      </c>
      <c r="F938">
        <f>IF(B994&lt;0.1,100,
IF(B994&lt;0.2,80,
IF(B994&lt;0.3,40,IF(B994&lt;0.5,20,IF(B994&lt;0.7,0,-40)))))</f>
        <v>-40</v>
      </c>
      <c r="G938" s="7"/>
      <c r="J938" s="215">
        <f>AVERAGE(J935,J936,J937)</f>
        <v>66.666666666666671</v>
      </c>
      <c r="M938" s="49" t="s">
        <v>402</v>
      </c>
      <c r="N938" s="441">
        <f>+D966</f>
        <v>-20</v>
      </c>
    </row>
    <row r="939" spans="1:38" ht="15" thickTop="1" thickBot="1">
      <c r="A939" s="50" t="s">
        <v>158</v>
      </c>
      <c r="B939" s="368">
        <v>0.25</v>
      </c>
      <c r="C939" s="217">
        <f>+B939*F944</f>
        <v>3</v>
      </c>
      <c r="D939" s="217">
        <f>+B939*G944</f>
        <v>25</v>
      </c>
      <c r="F939" s="215">
        <f>F935*0.4 + F936*0.3 + F937*0.15+F938*0.15</f>
        <v>30</v>
      </c>
      <c r="G939" s="7"/>
      <c r="M939" s="49" t="s">
        <v>157</v>
      </c>
      <c r="N939">
        <f>IF(B954&lt;30,100,IF(B954&lt;45,90,IF(B954&lt;60,75,IF(B954&lt;75,60,IF(B954&lt;90,40,20)))))</f>
        <v>100</v>
      </c>
    </row>
    <row r="940" spans="1:38" ht="16.149999999999999" thickBot="1">
      <c r="A940" s="377" t="s">
        <v>360</v>
      </c>
      <c r="B940" s="378">
        <f>+(C935+C936+C937+C938+C939)*10</f>
        <v>373.75</v>
      </c>
      <c r="I940" s="416" t="s">
        <v>160</v>
      </c>
      <c r="J940" s="416"/>
      <c r="M940" s="49" t="s">
        <v>159</v>
      </c>
      <c r="N940">
        <f>IF(AND(B955&gt;=30,B955&lt;=60),100,IF(OR(AND(B955&gt;=15,B955&lt;30),AND(B955&gt;60,B955&lt;=75)),70,20))</f>
        <v>20</v>
      </c>
    </row>
    <row r="941" spans="1:38" ht="16.149999999999999" thickBot="1">
      <c r="A941" s="44" t="s">
        <v>361</v>
      </c>
      <c r="B941" s="379">
        <f>+(C935+C936+C937+C938+D939)*10</f>
        <v>593.75</v>
      </c>
      <c r="C941" s="384" t="str">
        <f>IF(B941&gt;=850,"Excelente Candidato",
IF(B941&gt;=700,"Aprobación",
IF(B941&gt;=550,"Aprobar con Aval",
IF(B941&gt;=500,"Revisar con Obligado",IF(B941&gt;=400,"Solicitar Aval * Depósitos","Sugerenica Rechazo")))))</f>
        <v>Aprobar con Aval</v>
      </c>
      <c r="E941" s="417" t="s">
        <v>161</v>
      </c>
      <c r="F941" s="417"/>
      <c r="G941" s="23" t="s">
        <v>162</v>
      </c>
      <c r="I941" s="49" t="s">
        <v>163</v>
      </c>
      <c r="J941">
        <f>IF(B972&lt;1500,100,IF(B972&lt;2000,50,IF(B972&lt;2500,25,IF(B972&lt;3500,0,IF(B972&gt;=3500,-30,)))))</f>
        <v>-30</v>
      </c>
      <c r="M941" s="49" t="str">
        <f>+A960</f>
        <v>Coeficiente Variacion Flujo</v>
      </c>
      <c r="N941">
        <f>IF(B950&lt;0,IF(B960&gt;2,-30,0),IF(B960&lt;1,100,IF(B960&lt;2,70,IF(B960&lt;3,40,IF(B960&lt;4,30,IF(B960&lt;5,0,-30))))))</f>
        <v>70</v>
      </c>
    </row>
    <row r="942" spans="1:38" ht="15" thickTop="1" thickBot="1">
      <c r="A942" s="8" t="s">
        <v>164</v>
      </c>
      <c r="B942" s="383" t="str">
        <f>IF(B941&gt;=850,"Muy poco riesgo",
IF(B941&gt;=700,"Riesgo Bajo",
IF(B941&gt;=600,"Riesgo aceptable",
IF(B941&gt;=500,"Riesgo Medio",IF(B941&gt;=400,"Riesgo Alto","Riesgo muy Alto")))))</f>
        <v>Riesgo Medio</v>
      </c>
      <c r="C942" s="318" t="str">
        <f>+IF(B971="RECHAZAR","RECHAZAR",IF(B977="ALERTA","ALERTA","NO en listas negras"))</f>
        <v>NO en listas negras</v>
      </c>
      <c r="E942" s="49" t="s">
        <v>165</v>
      </c>
      <c r="F942">
        <f>IF(B978&gt;=330,100,IF(B978&gt;=300,80,IF(B978&gt;=270,72,IF(B978&gt;=240,68,IF(B978&gt;=220,64,IF(B978&gt;=200,40,IF(B978&gt;=180,10,IF(B978="",30,0))))))))</f>
        <v>30</v>
      </c>
      <c r="G942" s="2" t="s">
        <v>166</v>
      </c>
      <c r="I942" s="442" t="s">
        <v>403</v>
      </c>
      <c r="J942" s="23">
        <f>IF(B974&lt;0.025,100,IF(B974&lt;0.05,80,IF(B974&lt;0.075,50,IF(B974&lt;0.1,0,IF(B974&lt;0.15,-20,IF(B974&gt;0.25,-30,-40))))))</f>
        <v>80</v>
      </c>
      <c r="N942" s="357">
        <f>(N935*0.025)+(N936*0.025)+(N937*0.3)+(N938*0.15)+(N939*0.15)+(N940*0.1)+(N941*0.25)</f>
        <v>60.5</v>
      </c>
    </row>
    <row r="943" spans="1:38" ht="15" thickTop="1" thickBot="1">
      <c r="A943" s="8" t="s">
        <v>136</v>
      </c>
      <c r="B943" s="319" t="str">
        <f>+C993</f>
        <v>AVAL</v>
      </c>
      <c r="C943" s="320" t="str">
        <f>+B980</f>
        <v>NO FACHADA</v>
      </c>
      <c r="E943" s="8" t="str">
        <f>+A956</f>
        <v>CxP / Flujo Operativo</v>
      </c>
      <c r="F943" s="23">
        <f>IF(B956&lt;=0, -30, IF(B956&lt;1, 100, IF(B956&lt;2, 70, IF(B956&lt;3, 40, IF(B956&lt;5, 30, 0)))))</f>
        <v>-30</v>
      </c>
      <c r="G943" s="385">
        <f>IF(B950&lt;0, -20, IF(B956&lt;1, 100, IF(B956&lt;2, 70, IF(B956&lt;3, 40, IF(B956&lt;5, 30, 0)))))</f>
        <v>100</v>
      </c>
      <c r="I943" s="49" t="s">
        <v>168</v>
      </c>
      <c r="J943">
        <f>IF(B975&lt;0.05,100,
IF(B975&lt;0.1,80,IF(B975&lt;0.2,50,IF(B975&lt;0.4,0,-40))))</f>
        <v>100</v>
      </c>
      <c r="L943" t="s">
        <v>169</v>
      </c>
    </row>
    <row r="944" spans="1:38" ht="15" thickTop="1" thickBot="1">
      <c r="A944" s="8" t="s">
        <v>156</v>
      </c>
      <c r="B944" s="321" t="str">
        <f>+B973</f>
        <v>ALERTA CONCENTRACION</v>
      </c>
      <c r="C944" s="322" t="str">
        <f>+C990</f>
        <v>Flujo muy Justo</v>
      </c>
      <c r="F944" s="214">
        <f>(F942*0.7)+(F943*0.3)</f>
        <v>12</v>
      </c>
      <c r="G944" s="214">
        <f>(G943*1)</f>
        <v>100</v>
      </c>
      <c r="J944" s="215">
        <f>AVERAGE(J941,J942,J943)</f>
        <v>50</v>
      </c>
      <c r="L944" t="s">
        <v>102</v>
      </c>
      <c r="M944" t="s">
        <v>103</v>
      </c>
    </row>
    <row r="945" spans="1:13">
      <c r="L945" t="s">
        <v>150</v>
      </c>
      <c r="M945" t="s">
        <v>170</v>
      </c>
    </row>
    <row r="946" spans="1:13" ht="21.4" thickBot="1">
      <c r="A946" s="51" t="s">
        <v>171</v>
      </c>
      <c r="B946" s="52" t="s">
        <v>172</v>
      </c>
      <c r="D946" s="53"/>
      <c r="L946" t="s">
        <v>173</v>
      </c>
      <c r="M946" t="s">
        <v>170</v>
      </c>
    </row>
    <row r="947" spans="1:13" ht="14.65" thickBot="1">
      <c r="A947" s="55" t="s">
        <v>174</v>
      </c>
      <c r="B947" s="56" t="s">
        <v>175</v>
      </c>
      <c r="C947" s="56" t="s">
        <v>176</v>
      </c>
      <c r="D947" s="56" t="s">
        <v>177</v>
      </c>
      <c r="E947" s="56" t="s">
        <v>178</v>
      </c>
      <c r="L947" t="s">
        <v>179</v>
      </c>
      <c r="M947" t="s">
        <v>170</v>
      </c>
    </row>
    <row r="948" spans="1:13">
      <c r="A948" t="s">
        <v>180</v>
      </c>
      <c r="B948" s="358">
        <f>AVERAGE(C928:N928)</f>
        <v>86345.416666666672</v>
      </c>
      <c r="C948" s="359">
        <f>AVERAGE(C928:AL928)</f>
        <v>70113.00555555553</v>
      </c>
      <c r="D948" s="2" t="str">
        <f>IF(B948/B949&gt;1.5,"Bien",IF(B948/B949&gt;1.3,"Ok",IF(B948/B949&gt;1.2,"Revisar",IF(B948/B949&gt;1.15,"Muy Bajo","Alerta"))))</f>
        <v>Bien</v>
      </c>
      <c r="E948" s="57" t="s">
        <v>181</v>
      </c>
      <c r="L948" t="s">
        <v>182</v>
      </c>
      <c r="M948" t="s">
        <v>183</v>
      </c>
    </row>
    <row r="949" spans="1:13">
      <c r="A949" t="s">
        <v>184</v>
      </c>
      <c r="B949" s="358">
        <f>AVERAGE(C929:N929)</f>
        <v>26409.070833333331</v>
      </c>
      <c r="C949" s="359">
        <f>AVERAGE(C929:AL929)</f>
        <v>29768.34583333334</v>
      </c>
      <c r="D949" s="53" t="str">
        <f>IF(B949/B948&lt;0.6,"Bien",IF(B949/B948&lt;0.76,"Ok",IF(B949/B948&lt;0.8,"Revisar",IF(B949/B948&lt;0.89,"Riesgo","Alerta"))))</f>
        <v>Bien</v>
      </c>
      <c r="E949" s="57" t="s">
        <v>185</v>
      </c>
      <c r="L949" t="s">
        <v>186</v>
      </c>
      <c r="M949" t="s">
        <v>183</v>
      </c>
    </row>
    <row r="950" spans="1:13">
      <c r="A950" t="s">
        <v>187</v>
      </c>
      <c r="B950" s="358">
        <f>AVERAGE(C930:N930)</f>
        <v>60391.971666666679</v>
      </c>
      <c r="C950" s="359">
        <f>AVERAGE(C930:AL930)</f>
        <v>40496.535277777773</v>
      </c>
      <c r="D950" s="53" t="str">
        <f>IF(B950/B989&gt;2,"Bien",IF(B950/B989&gt;1.5,"Ok",IF(B950/B989&gt;1.2,"Revisión","Alerta")))</f>
        <v>Ok</v>
      </c>
      <c r="E950" s="57" t="s">
        <v>188</v>
      </c>
    </row>
    <row r="951" spans="1:13">
      <c r="A951" t="s">
        <v>189</v>
      </c>
      <c r="B951" s="359">
        <f>B950*IF(B950&gt;=0, B999, 1+(1-B999))</f>
        <v>42274.38016666667</v>
      </c>
      <c r="C951" s="359">
        <f>C950*IF(C950&gt;=0, B999, 1+(1-B999))</f>
        <v>28347.57469444444</v>
      </c>
      <c r="D951" s="2" t="str">
        <f>IF(B951/B989&gt;2,"Bien",IF(B951/B989&gt;1.5,"Ok",IF(B951/B989&gt;1.2,"Revisión","Alerta")))</f>
        <v>Revisión</v>
      </c>
      <c r="E951" s="57" t="s">
        <v>190</v>
      </c>
    </row>
    <row r="952" spans="1:13">
      <c r="A952" t="s">
        <v>191</v>
      </c>
      <c r="B952" s="358">
        <f>AVERAGE(C931:N931)</f>
        <v>0</v>
      </c>
      <c r="C952" s="359">
        <f>AVERAGE(C931:AL931)</f>
        <v>0</v>
      </c>
      <c r="E952" s="9" t="s">
        <v>192</v>
      </c>
    </row>
    <row r="953" spans="1:13">
      <c r="A953" t="s">
        <v>193</v>
      </c>
      <c r="B953" s="358">
        <f>AVERAGE(C932:N932)</f>
        <v>0</v>
      </c>
      <c r="C953" s="359">
        <f>AVERAGE(C932:AL932)</f>
        <v>0</v>
      </c>
      <c r="E953" s="9" t="s">
        <v>194</v>
      </c>
    </row>
    <row r="954" spans="1:13">
      <c r="A954" t="s">
        <v>195</v>
      </c>
      <c r="B954" s="360">
        <f>+(B952/B948)*30</f>
        <v>0</v>
      </c>
      <c r="C954" s="360">
        <f>+(C952/C948)*30</f>
        <v>0</v>
      </c>
      <c r="D954" s="10" t="str">
        <f>+IF(B954&gt;B955,"Financia a Proveedores", "Proveedores la Financian")</f>
        <v>Proveedores la Financian</v>
      </c>
      <c r="E954" s="9" t="s">
        <v>196</v>
      </c>
    </row>
    <row r="955" spans="1:13">
      <c r="A955" t="s">
        <v>197</v>
      </c>
      <c r="B955" s="360">
        <f>+(B953/B949)*30</f>
        <v>0</v>
      </c>
      <c r="C955" s="360">
        <f>+(C953/C949)*30</f>
        <v>0</v>
      </c>
      <c r="D955" s="10" t="str">
        <f>+IF(B955&gt;B954,"Proveedores la Financian","Financia a Proveedores")</f>
        <v>Financia a Proveedores</v>
      </c>
      <c r="E955" s="9" t="s">
        <v>196</v>
      </c>
    </row>
    <row r="956" spans="1:13">
      <c r="A956" t="s">
        <v>198</v>
      </c>
      <c r="B956" s="208">
        <f>+((B953*4.5)/(B950*12))</f>
        <v>0</v>
      </c>
      <c r="C956" s="208">
        <f>+(C953*4.5)/(C950*12)</f>
        <v>0</v>
      </c>
      <c r="D956" s="59" t="str">
        <f>IF(B956&lt;=0,"ALERTA",(B953*4.5)/(B950*12))</f>
        <v>ALERTA</v>
      </c>
      <c r="E956" s="57" t="s">
        <v>346</v>
      </c>
      <c r="I956" t="s">
        <v>199</v>
      </c>
    </row>
    <row r="957" spans="1:13">
      <c r="A957" t="s">
        <v>200</v>
      </c>
      <c r="B957" s="427"/>
      <c r="C957" s="360"/>
      <c r="E957" t="s">
        <v>201</v>
      </c>
    </row>
    <row r="958" spans="1:13">
      <c r="A958" t="s">
        <v>202</v>
      </c>
      <c r="B958" s="60">
        <f>(B950/B948)</f>
        <v>0.69942301511854044</v>
      </c>
      <c r="C958" s="60">
        <f>(C950/C948)</f>
        <v>0.57758949223321321</v>
      </c>
      <c r="D958" s="2" t="e">
        <f>IF(B958&lt;=0,"ALERTA",(B955*4.5)/(B952*12))</f>
        <v>#DIV/0!</v>
      </c>
      <c r="E958" s="57" t="s">
        <v>203</v>
      </c>
    </row>
    <row r="959" spans="1:13">
      <c r="A959" t="s">
        <v>362</v>
      </c>
      <c r="B959" s="381">
        <f>_xlfn.STDEV.P(C930:N930)</f>
        <v>73449.708197771266</v>
      </c>
      <c r="C959" s="381">
        <f>_xlfn.STDEV.P(C930:AL930)</f>
        <v>62261.094907141633</v>
      </c>
      <c r="E959" s="57" t="s">
        <v>204</v>
      </c>
    </row>
    <row r="960" spans="1:13">
      <c r="A960" t="s">
        <v>205</v>
      </c>
      <c r="B960" s="382">
        <f>ABS(B959/B950)</f>
        <v>1.2162164302761422</v>
      </c>
      <c r="C960" s="366">
        <f>C959/C950</f>
        <v>1.5374425115648604</v>
      </c>
      <c r="D960" s="57"/>
      <c r="E960" s="57" t="s">
        <v>370</v>
      </c>
    </row>
    <row r="961" spans="1:5">
      <c r="A961" t="s">
        <v>371</v>
      </c>
      <c r="B961" s="60">
        <f>(B959/B948)</f>
        <v>0.85064976270044745</v>
      </c>
      <c r="C961" s="60">
        <f>+(C959/C948)</f>
        <v>0.8880106395925037</v>
      </c>
      <c r="D961" s="2" t="str">
        <f>+IF(B961&lt;20%,"Estables",IF(B961&lt;40%,"Normal",IF(B961&gt;40%,"Volatil")))</f>
        <v>Volatil</v>
      </c>
      <c r="E961" s="57" t="s">
        <v>207</v>
      </c>
    </row>
    <row r="962" spans="1:5">
      <c r="A962" t="s">
        <v>208</v>
      </c>
      <c r="B962" s="361">
        <f>COUNTIF(E928:P928,"&gt;0")</f>
        <v>10</v>
      </c>
      <c r="C962" s="362">
        <f>COUNTIF(E928:AN928,"&gt;0")</f>
        <v>31</v>
      </c>
      <c r="E962" s="57" t="s">
        <v>209</v>
      </c>
    </row>
    <row r="963" spans="1:5">
      <c r="A963" t="s">
        <v>210</v>
      </c>
      <c r="B963" s="363">
        <f>B962/12</f>
        <v>0.83333333333333337</v>
      </c>
      <c r="C963" s="363">
        <f>C962/36</f>
        <v>0.86111111111111116</v>
      </c>
      <c r="D963" s="2" t="str">
        <f>+IF(B963&gt;90%,"Estable",IF(B963&gt;50%,"Intermitente",IF(B963&lt;50%,"Riesgoso")))</f>
        <v>Intermitente</v>
      </c>
      <c r="E963" s="57" t="s">
        <v>211</v>
      </c>
    </row>
    <row r="964" spans="1:5">
      <c r="A964" s="203"/>
      <c r="B964" s="204"/>
      <c r="C964" s="204"/>
      <c r="D964" s="205"/>
      <c r="E964" s="206"/>
    </row>
    <row r="965" spans="1:5">
      <c r="A965" t="s">
        <v>212</v>
      </c>
      <c r="B965" s="60">
        <f>AVERAGE(C928:H928)/AVERAGE(I928:N928)-1</f>
        <v>0.17221174004192874</v>
      </c>
      <c r="C965" s="60">
        <f>AVERAGE(C928:T928)/AVERAGE(U928:AL928)-1</f>
        <v>-1.6295304938027666E-3</v>
      </c>
      <c r="D965" s="59" t="str">
        <f>+IF(B965&gt;15%,"Bueno",IF(B965&gt;5%,"Estable",IF(B965&gt;1%,"Bajo",IF(B965&gt;-10%,"Alerta","Deterioro"))))</f>
        <v>Bueno</v>
      </c>
      <c r="E965" s="9" t="s">
        <v>213</v>
      </c>
    </row>
    <row r="966" spans="1:5" ht="14.65" thickBot="1">
      <c r="A966" s="23" t="s">
        <v>401</v>
      </c>
      <c r="B966" s="439">
        <f>AVERAGE(C929:H929)/AVERAGE(I929:N929)-1</f>
        <v>1.0927616174896491</v>
      </c>
      <c r="C966" s="439">
        <f>AVERAGE(C929:T929)/AVERAGE(U929:AL929)-1</f>
        <v>0.26526601391538107</v>
      </c>
      <c r="D966" s="440">
        <f>IF(B966&gt;B965,-20,IF(B966&lt;0,100,IF(B966&lt;=B965*0.5,80,IF(B966&lt;=B965,60,30))))</f>
        <v>-20</v>
      </c>
    </row>
    <row r="967" spans="1:5" ht="14.65" thickBot="1">
      <c r="A967" s="55" t="s">
        <v>214</v>
      </c>
      <c r="B967" s="61" t="s">
        <v>215</v>
      </c>
      <c r="C967" s="56" t="s">
        <v>178</v>
      </c>
      <c r="D967" s="411"/>
    </row>
    <row r="968" spans="1:5">
      <c r="A968" s="16" t="s">
        <v>216</v>
      </c>
      <c r="B968" s="62">
        <v>36</v>
      </c>
      <c r="C968" s="1" t="s">
        <v>217</v>
      </c>
    </row>
    <row r="969" spans="1:5">
      <c r="A969" s="3" t="s">
        <v>218</v>
      </c>
      <c r="B969" s="25">
        <v>36</v>
      </c>
      <c r="C969" s="1" t="s">
        <v>219</v>
      </c>
    </row>
    <row r="970" spans="1:5">
      <c r="A970" s="3" t="s">
        <v>220</v>
      </c>
      <c r="B970" s="25">
        <v>0</v>
      </c>
      <c r="C970" s="1" t="s">
        <v>221</v>
      </c>
    </row>
    <row r="971" spans="1:5">
      <c r="A971" s="3" t="s">
        <v>222</v>
      </c>
      <c r="B971" s="4" t="str">
        <f>IF(B970=1,"RECHAZAR","NO")</f>
        <v>NO</v>
      </c>
      <c r="C971" s="1" t="s">
        <v>223</v>
      </c>
    </row>
    <row r="972" spans="1:5">
      <c r="A972" s="3" t="s">
        <v>224</v>
      </c>
      <c r="B972" s="65">
        <v>5045</v>
      </c>
      <c r="C972" s="1" t="s">
        <v>225</v>
      </c>
    </row>
    <row r="973" spans="1:5">
      <c r="A973" s="3" t="s">
        <v>226</v>
      </c>
      <c r="B973" s="323" t="str">
        <f>IF(B972&gt;1500,"ALERTA CONCENTRACION","OK")</f>
        <v>ALERTA CONCENTRACION</v>
      </c>
      <c r="C973" s="1" t="s">
        <v>227</v>
      </c>
    </row>
    <row r="974" spans="1:5">
      <c r="A974" s="443" t="s">
        <v>403</v>
      </c>
      <c r="B974" s="66">
        <v>0.04</v>
      </c>
      <c r="C974" s="1" t="s">
        <v>229</v>
      </c>
    </row>
    <row r="975" spans="1:5">
      <c r="A975" s="3" t="s">
        <v>230</v>
      </c>
      <c r="B975" s="66">
        <v>0</v>
      </c>
      <c r="C975" s="1" t="s">
        <v>231</v>
      </c>
    </row>
    <row r="976" spans="1:5">
      <c r="A976" s="3" t="s">
        <v>232</v>
      </c>
      <c r="B976" s="67">
        <v>0.18</v>
      </c>
      <c r="C976" s="1" t="s">
        <v>233</v>
      </c>
    </row>
    <row r="977" spans="1:9">
      <c r="A977" s="3" t="s">
        <v>234</v>
      </c>
      <c r="B977" s="68" t="str">
        <f>IF(B976&gt;0.2,"ALERTA","OK")</f>
        <v>OK</v>
      </c>
      <c r="C977" s="1" t="s">
        <v>177</v>
      </c>
    </row>
    <row r="978" spans="1:9">
      <c r="A978" s="3" t="s">
        <v>235</v>
      </c>
      <c r="B978" s="69"/>
      <c r="C978" s="1" t="s">
        <v>372</v>
      </c>
      <c r="I978" t="s">
        <v>373</v>
      </c>
    </row>
    <row r="979" spans="1:9">
      <c r="A979" s="3" t="s">
        <v>236</v>
      </c>
      <c r="B979" s="68" t="str">
        <f>IF(B978&gt;175,"NO",IF(B978="","Sin Buró","RECHAZAR"))</f>
        <v>Sin Buró</v>
      </c>
      <c r="C979" s="1" t="s">
        <v>177</v>
      </c>
    </row>
    <row r="980" spans="1:9" ht="14.65" thickBot="1">
      <c r="A980" s="6" t="s">
        <v>237</v>
      </c>
      <c r="B980" s="380" t="str">
        <f>IF(AND(B976&gt;0.1, B965&gt;0.5, B972&gt;3500),"Fachada RECHAZAR","NO FACHADA")</f>
        <v>NO FACHADA</v>
      </c>
      <c r="C980" s="1" t="s">
        <v>238</v>
      </c>
    </row>
    <row r="981" spans="1:9" ht="14.65" thickBot="1">
      <c r="A981" s="3" t="s">
        <v>239</v>
      </c>
      <c r="B981" s="69">
        <v>713</v>
      </c>
    </row>
    <row r="982" spans="1:9" ht="14.65" thickBot="1">
      <c r="A982" s="412" t="s">
        <v>240</v>
      </c>
      <c r="B982" s="413"/>
      <c r="C982" s="56" t="s">
        <v>177</v>
      </c>
      <c r="D982" s="56" t="s">
        <v>178</v>
      </c>
    </row>
    <row r="983" spans="1:9">
      <c r="A983" s="16" t="s">
        <v>241</v>
      </c>
      <c r="B983" s="70">
        <f>1042200+0+27634.45</f>
        <v>1069834.45</v>
      </c>
      <c r="D983" s="1" t="s">
        <v>242</v>
      </c>
    </row>
    <row r="984" spans="1:9">
      <c r="A984" s="3" t="s">
        <v>243</v>
      </c>
      <c r="B984" s="71">
        <v>0</v>
      </c>
      <c r="D984" s="1" t="s">
        <v>244</v>
      </c>
    </row>
    <row r="985" spans="1:9">
      <c r="A985" s="3" t="s">
        <v>245</v>
      </c>
      <c r="B985" s="71">
        <v>224612.07</v>
      </c>
      <c r="D985" s="1" t="s">
        <v>245</v>
      </c>
    </row>
    <row r="986" spans="1:9">
      <c r="A986" s="3" t="s">
        <v>246</v>
      </c>
      <c r="B986" s="251">
        <f>B983-B984</f>
        <v>1069834.45</v>
      </c>
      <c r="D986" s="1" t="s">
        <v>247</v>
      </c>
    </row>
    <row r="987" spans="1:9">
      <c r="A987" s="3" t="s">
        <v>248</v>
      </c>
      <c r="B987" s="25">
        <v>48</v>
      </c>
    </row>
    <row r="988" spans="1:9">
      <c r="A988" s="3" t="s">
        <v>83</v>
      </c>
      <c r="B988" s="72">
        <f>+IF(B987&lt;24,30.2%,IF(B987&lt;36,26%,IF(B987&lt;48,24.55%,IF(B987&lt;60,23.82%,"0%"))))</f>
        <v>0.2382</v>
      </c>
      <c r="D988" s="73"/>
    </row>
    <row r="989" spans="1:9">
      <c r="A989" s="3" t="s">
        <v>249</v>
      </c>
      <c r="B989" s="216">
        <f>+PMT(B988/12,B987,-B986,B985)</f>
        <v>31930.309757323772</v>
      </c>
      <c r="C989" s="2" t="str">
        <f>IF(B990/B989&gt;2,"Bien",IF(B990/B989&gt;1.5,"Ok",IF(B990/B989&gt;1.2,"Alerta","Le falta Flujo")))</f>
        <v>Alerta</v>
      </c>
      <c r="D989" s="1" t="s">
        <v>250</v>
      </c>
    </row>
    <row r="990" spans="1:9">
      <c r="A990" s="3" t="s">
        <v>189</v>
      </c>
      <c r="B990" s="216">
        <f>B951</f>
        <v>42274.38016666667</v>
      </c>
      <c r="C990" s="2" t="str">
        <f>IF(B951/B989&gt;2,"Buen Flujo",IF(B951/B989&gt;1.5,"Ok Flujo",IF(B951/B989&gt;1.1,"Flujo muy Justo","Flujo Insuficiente")))</f>
        <v>Flujo muy Justo</v>
      </c>
      <c r="D990" s="1" t="s">
        <v>251</v>
      </c>
    </row>
    <row r="991" spans="1:9">
      <c r="A991" s="3" t="s">
        <v>252</v>
      </c>
      <c r="B991" s="364">
        <f>+(B990/B989)</f>
        <v>1.3239577219250216</v>
      </c>
      <c r="C991" s="2" t="str">
        <f>+IF(B991&gt;1.5,"Comodo",IF(B991&gt;1.1,"Aceptable",IF(B991&lt;1.1,"Rechazo")))</f>
        <v>Aceptable</v>
      </c>
      <c r="D991" t="s">
        <v>374</v>
      </c>
    </row>
    <row r="992" spans="1:9">
      <c r="A992" s="3" t="s">
        <v>253</v>
      </c>
      <c r="B992" s="289">
        <f>IF(B987&lt;=24,$B$584,IF(B987&lt;=36,$B$585,IF(B987&lt;=48,$B$586,$B$587)))</f>
        <v>2.5</v>
      </c>
      <c r="D992" t="s">
        <v>254</v>
      </c>
    </row>
    <row r="993" spans="1:38">
      <c r="A993" s="3" t="s">
        <v>255</v>
      </c>
      <c r="B993" s="365"/>
      <c r="C993" s="4" t="str">
        <f>IF(B991&gt;B992,"Suficiente",IF(B991&lt;1,"Negativo","AVAL"))</f>
        <v>AVAL</v>
      </c>
      <c r="D993" t="s">
        <v>256</v>
      </c>
    </row>
    <row r="994" spans="1:38">
      <c r="A994" s="3" t="s">
        <v>257</v>
      </c>
      <c r="B994" s="72">
        <f>+B983/SUM(D928:O928)</f>
        <v>1.0198904163131453</v>
      </c>
      <c r="C994" s="2" t="str">
        <f>IF(B994&lt;0.1,"Excelente",IF(B994&lt;0.2,"Bien",IF(B994&lt;0.3,"Ok",IF(B994&lt;0.6,"Revisar",IF(B994&lt;0.9,"Alerta","Sobrepasado")))))</f>
        <v>Sobrepasado</v>
      </c>
      <c r="D994" t="s">
        <v>375</v>
      </c>
    </row>
    <row r="995" spans="1:38">
      <c r="A995" s="3" t="s">
        <v>258</v>
      </c>
      <c r="B995" s="216">
        <f>B990/B992</f>
        <v>16909.752066666668</v>
      </c>
      <c r="C995" s="74" t="str">
        <f>IF(B995/B989&gt;4,"Ok",IF(B995/B989&gt;2,"OK",IF((B995/B989)&gt;1.2,"Renta con Riesgo",IF(B995/B989&lt;1.1,"No Otorgar"))))</f>
        <v>No Otorgar</v>
      </c>
      <c r="D995" t="s">
        <v>259</v>
      </c>
      <c r="G995">
        <f>+B995/B989</f>
        <v>0.52958308877000859</v>
      </c>
    </row>
    <row r="996" spans="1:38" ht="14.65" thickBot="1">
      <c r="A996" s="6" t="s">
        <v>260</v>
      </c>
      <c r="B996" s="367">
        <f>IF(B990&lt;0, 0, PV(B988/12,B987,-B995))</f>
        <v>520261.56313558551</v>
      </c>
      <c r="C996" s="2" t="str">
        <f>+IF(B996/B983&gt;1,"Otorgar",IF(B996/B983&gt;0.75,"Revision","No Otorgar"))</f>
        <v>No Otorgar</v>
      </c>
      <c r="D996" t="s">
        <v>261</v>
      </c>
    </row>
    <row r="997" spans="1:38" ht="14.65" thickBot="1"/>
    <row r="998" spans="1:38">
      <c r="A998" s="47" t="s">
        <v>262</v>
      </c>
      <c r="B998" s="48" t="s">
        <v>263</v>
      </c>
    </row>
    <row r="999" spans="1:38">
      <c r="A999" s="24" t="s">
        <v>264</v>
      </c>
      <c r="B999" s="25">
        <v>0.7</v>
      </c>
      <c r="M999" t="s">
        <v>265</v>
      </c>
    </row>
    <row r="1000" spans="1:38">
      <c r="A1000" s="24" t="s">
        <v>80</v>
      </c>
      <c r="B1000" s="25">
        <v>3</v>
      </c>
      <c r="D1000" t="s">
        <v>254</v>
      </c>
    </row>
    <row r="1001" spans="1:38">
      <c r="A1001" s="24" t="s">
        <v>85</v>
      </c>
      <c r="B1001" s="25">
        <v>2.75</v>
      </c>
      <c r="D1001" t="s">
        <v>254</v>
      </c>
    </row>
    <row r="1002" spans="1:38">
      <c r="A1002" s="24" t="s">
        <v>87</v>
      </c>
      <c r="B1002" s="25">
        <v>2.5</v>
      </c>
      <c r="D1002" t="s">
        <v>254</v>
      </c>
    </row>
    <row r="1003" spans="1:38">
      <c r="A1003" s="24" t="s">
        <v>88</v>
      </c>
      <c r="B1003" s="25">
        <v>2.25</v>
      </c>
      <c r="D1003" t="s">
        <v>254</v>
      </c>
    </row>
    <row r="1004" spans="1:38">
      <c r="A1004" s="24" t="s">
        <v>266</v>
      </c>
      <c r="B1004" s="25">
        <v>6</v>
      </c>
      <c r="D1004" t="s">
        <v>267</v>
      </c>
    </row>
    <row r="1005" spans="1:38">
      <c r="A1005" s="24" t="s">
        <v>268</v>
      </c>
      <c r="B1005" s="25">
        <v>-10</v>
      </c>
      <c r="D1005" t="s">
        <v>269</v>
      </c>
    </row>
    <row r="1006" spans="1:38" ht="14.65" thickBot="1">
      <c r="A1006" s="50" t="s">
        <v>270</v>
      </c>
      <c r="B1006" s="75">
        <v>-30</v>
      </c>
      <c r="D1006" t="s">
        <v>271</v>
      </c>
    </row>
    <row r="1007" spans="1:38" ht="14.65" thickBot="1"/>
    <row r="1008" spans="1:38" ht="27" thickBot="1">
      <c r="A1008" s="453" t="s">
        <v>406</v>
      </c>
      <c r="B1008" s="454"/>
      <c r="C1008" s="454"/>
      <c r="D1008" s="454"/>
      <c r="E1008" s="454"/>
      <c r="F1008" s="388"/>
      <c r="G1008" s="388"/>
      <c r="H1008" s="389"/>
      <c r="I1008" s="386"/>
      <c r="J1008" s="386"/>
      <c r="K1008" s="386"/>
      <c r="L1008" s="386"/>
      <c r="M1008" s="386"/>
      <c r="N1008" s="386"/>
      <c r="O1008" s="386"/>
      <c r="P1008" s="386"/>
      <c r="Q1008" s="386"/>
      <c r="R1008" s="386"/>
      <c r="S1008" s="386"/>
      <c r="T1008" s="386"/>
      <c r="U1008" s="386"/>
      <c r="V1008" s="386"/>
      <c r="W1008" s="386"/>
      <c r="X1008" s="386"/>
      <c r="Y1008" s="386"/>
      <c r="Z1008" s="386"/>
      <c r="AA1008" s="386"/>
      <c r="AB1008" s="386"/>
      <c r="AC1008" s="386"/>
      <c r="AD1008" s="386"/>
      <c r="AE1008" s="386"/>
      <c r="AF1008" s="386"/>
      <c r="AG1008" s="386"/>
      <c r="AH1008" s="386"/>
      <c r="AI1008" s="386"/>
      <c r="AJ1008" s="386"/>
      <c r="AK1008" s="386"/>
      <c r="AL1008" s="390"/>
    </row>
    <row r="1009" spans="1:39" ht="14.65" thickBot="1">
      <c r="A1009" s="30" t="s">
        <v>131</v>
      </c>
      <c r="C1009" s="31">
        <v>46143</v>
      </c>
      <c r="D1009" s="31">
        <v>46113</v>
      </c>
      <c r="E1009" s="31">
        <v>46054</v>
      </c>
      <c r="F1009" s="31">
        <f>+E1009-1</f>
        <v>46053</v>
      </c>
      <c r="G1009" s="31">
        <f>+F1009-1</f>
        <v>46052</v>
      </c>
      <c r="H1009" s="31">
        <f t="shared" ref="H1009" si="295">+G1009-1</f>
        <v>46051</v>
      </c>
      <c r="I1009" s="31">
        <f t="shared" ref="I1009" si="296">+H1009-1</f>
        <v>46050</v>
      </c>
      <c r="J1009" s="31">
        <f t="shared" ref="J1009" si="297">+I1009-1</f>
        <v>46049</v>
      </c>
      <c r="K1009" s="31">
        <f t="shared" ref="K1009" si="298">+J1009-1</f>
        <v>46048</v>
      </c>
      <c r="L1009" s="31">
        <f t="shared" ref="L1009" si="299">+K1009-1</f>
        <v>46047</v>
      </c>
      <c r="M1009" s="31">
        <f t="shared" ref="M1009" si="300">+L1009-1</f>
        <v>46046</v>
      </c>
      <c r="N1009" s="31">
        <f t="shared" ref="N1009" si="301">+M1009-1</f>
        <v>46045</v>
      </c>
      <c r="O1009" s="31">
        <f t="shared" ref="O1009" si="302">+N1009-1</f>
        <v>46044</v>
      </c>
      <c r="P1009" s="31">
        <f t="shared" ref="P1009" si="303">+O1009-1</f>
        <v>46043</v>
      </c>
      <c r="Q1009" s="31">
        <f t="shared" ref="Q1009" si="304">+P1009-1</f>
        <v>46042</v>
      </c>
      <c r="R1009" s="31">
        <f t="shared" ref="R1009" si="305">+Q1009-1</f>
        <v>46041</v>
      </c>
      <c r="S1009" s="31">
        <f t="shared" ref="S1009" si="306">+R1009-1</f>
        <v>46040</v>
      </c>
      <c r="T1009" s="31">
        <f t="shared" ref="T1009" si="307">+S1009-1</f>
        <v>46039</v>
      </c>
      <c r="U1009" s="31">
        <f t="shared" ref="U1009" si="308">+T1009-1</f>
        <v>46038</v>
      </c>
      <c r="V1009" s="31">
        <f t="shared" ref="V1009" si="309">+U1009-1</f>
        <v>46037</v>
      </c>
      <c r="W1009" s="31">
        <f t="shared" ref="W1009" si="310">+V1009-1</f>
        <v>46036</v>
      </c>
      <c r="X1009" s="31">
        <f t="shared" ref="X1009" si="311">+W1009-1</f>
        <v>46035</v>
      </c>
      <c r="Y1009" s="31">
        <f t="shared" ref="Y1009" si="312">+X1009-1</f>
        <v>46034</v>
      </c>
      <c r="Z1009" s="31">
        <f t="shared" ref="Z1009" si="313">+Y1009-1</f>
        <v>46033</v>
      </c>
      <c r="AA1009" s="31">
        <f t="shared" ref="AA1009" si="314">+Z1009-1</f>
        <v>46032</v>
      </c>
      <c r="AB1009" s="31">
        <f t="shared" ref="AB1009" si="315">+AA1009-1</f>
        <v>46031</v>
      </c>
      <c r="AC1009" s="31">
        <f t="shared" ref="AC1009" si="316">+AB1009-1</f>
        <v>46030</v>
      </c>
      <c r="AD1009" s="31">
        <f t="shared" ref="AD1009" si="317">+AC1009-1</f>
        <v>46029</v>
      </c>
      <c r="AE1009" s="31">
        <f t="shared" ref="AE1009" si="318">+AD1009-1</f>
        <v>46028</v>
      </c>
      <c r="AF1009" s="31">
        <f t="shared" ref="AF1009" si="319">+AE1009-1</f>
        <v>46027</v>
      </c>
      <c r="AG1009" s="31">
        <f t="shared" ref="AG1009" si="320">+AF1009-1</f>
        <v>46026</v>
      </c>
      <c r="AH1009" s="31">
        <f t="shared" ref="AH1009" si="321">+AG1009-1</f>
        <v>46025</v>
      </c>
      <c r="AI1009" s="31">
        <f t="shared" ref="AI1009" si="322">+AH1009-1</f>
        <v>46024</v>
      </c>
      <c r="AJ1009" s="31">
        <f t="shared" ref="AJ1009" si="323">+AI1009-1</f>
        <v>46023</v>
      </c>
      <c r="AK1009" s="31">
        <f t="shared" ref="AK1009" si="324">+AJ1009-1</f>
        <v>46022</v>
      </c>
      <c r="AL1009" s="31">
        <f t="shared" ref="AL1009" si="325">+AK1009-1</f>
        <v>46021</v>
      </c>
    </row>
    <row r="1010" spans="1:39" ht="14.65" thickBot="1">
      <c r="A1010" s="32" t="s">
        <v>132</v>
      </c>
      <c r="C1010" s="33">
        <v>1</v>
      </c>
      <c r="D1010" s="34">
        <v>2</v>
      </c>
      <c r="E1010" s="34">
        <v>3</v>
      </c>
      <c r="F1010" s="34">
        <v>4</v>
      </c>
      <c r="G1010" s="34">
        <v>5</v>
      </c>
      <c r="H1010" s="34">
        <v>6</v>
      </c>
      <c r="I1010" s="34">
        <v>7</v>
      </c>
      <c r="J1010" s="34">
        <v>8</v>
      </c>
      <c r="K1010" s="34">
        <v>9</v>
      </c>
      <c r="L1010" s="34">
        <v>10</v>
      </c>
      <c r="M1010" s="34">
        <v>11</v>
      </c>
      <c r="N1010" s="34">
        <v>12</v>
      </c>
      <c r="O1010" s="34">
        <v>13</v>
      </c>
      <c r="P1010" s="34">
        <v>14</v>
      </c>
      <c r="Q1010" s="34">
        <v>15</v>
      </c>
      <c r="R1010" s="34">
        <v>16</v>
      </c>
      <c r="S1010" s="34">
        <v>17</v>
      </c>
      <c r="T1010" s="34">
        <v>18</v>
      </c>
      <c r="U1010" s="34">
        <v>19</v>
      </c>
      <c r="V1010" s="34">
        <v>20</v>
      </c>
      <c r="W1010" s="34">
        <v>21</v>
      </c>
      <c r="X1010" s="34">
        <v>22</v>
      </c>
      <c r="Y1010" s="34">
        <v>23</v>
      </c>
      <c r="Z1010" s="34">
        <v>24</v>
      </c>
      <c r="AA1010" s="34">
        <v>25</v>
      </c>
      <c r="AB1010" s="34">
        <v>26</v>
      </c>
      <c r="AC1010" s="34">
        <v>27</v>
      </c>
      <c r="AD1010" s="34">
        <v>28</v>
      </c>
      <c r="AE1010" s="34">
        <v>29</v>
      </c>
      <c r="AF1010" s="34">
        <v>30</v>
      </c>
      <c r="AG1010" s="34">
        <v>31</v>
      </c>
      <c r="AH1010" s="34">
        <v>32</v>
      </c>
      <c r="AI1010" s="34">
        <v>33</v>
      </c>
      <c r="AJ1010" s="34">
        <v>34</v>
      </c>
      <c r="AK1010" s="34">
        <v>35</v>
      </c>
      <c r="AL1010" s="35">
        <v>36</v>
      </c>
      <c r="AM1010">
        <v>37</v>
      </c>
    </row>
    <row r="1011" spans="1:39" ht="14.25" customHeight="1">
      <c r="A1011" s="36" t="s">
        <v>133</v>
      </c>
      <c r="B1011" s="418" t="s">
        <v>134</v>
      </c>
      <c r="C1011" s="37">
        <v>915361.92</v>
      </c>
      <c r="D1011" s="37">
        <v>1098984.01</v>
      </c>
      <c r="E1011" s="37">
        <v>637007.06000000006</v>
      </c>
      <c r="F1011" s="37">
        <v>617669.80000000005</v>
      </c>
      <c r="G1011" s="37">
        <v>378536.43</v>
      </c>
      <c r="H1011" s="37">
        <v>284677.28000000003</v>
      </c>
      <c r="I1011" s="37">
        <v>780698.13</v>
      </c>
      <c r="J1011" s="37">
        <v>851254.91</v>
      </c>
      <c r="K1011" s="37">
        <v>1380472.08</v>
      </c>
      <c r="L1011" s="37">
        <v>521156.72</v>
      </c>
      <c r="M1011" s="37">
        <v>879226.31</v>
      </c>
      <c r="N1011" s="37">
        <v>1956779.13</v>
      </c>
      <c r="O1011" s="37">
        <v>1340258.33</v>
      </c>
      <c r="P1011" s="37">
        <v>702716.49</v>
      </c>
      <c r="Q1011" s="37">
        <v>432330.98</v>
      </c>
      <c r="R1011" s="37">
        <v>1771505.21</v>
      </c>
      <c r="S1011" s="37">
        <v>106257.4</v>
      </c>
      <c r="T1011" s="37">
        <v>268968.55</v>
      </c>
      <c r="U1011" s="37">
        <v>265889.74</v>
      </c>
      <c r="V1011" s="37">
        <v>169276.62</v>
      </c>
      <c r="W1011" s="37">
        <v>93393.3</v>
      </c>
      <c r="X1011" s="37">
        <v>586630.25</v>
      </c>
      <c r="Y1011" s="37">
        <v>286025.5</v>
      </c>
      <c r="Z1011" s="37">
        <v>0</v>
      </c>
      <c r="AA1011" s="37">
        <v>0</v>
      </c>
      <c r="AB1011" s="37">
        <v>0</v>
      </c>
      <c r="AC1011" s="37">
        <v>3392</v>
      </c>
      <c r="AD1011" s="37">
        <v>13761.77</v>
      </c>
      <c r="AE1011" s="37">
        <v>117711.56</v>
      </c>
      <c r="AF1011" s="37">
        <v>351500.25</v>
      </c>
      <c r="AG1011" s="37">
        <v>359628.66</v>
      </c>
      <c r="AH1011" s="37">
        <v>1577888.34</v>
      </c>
      <c r="AI1011" s="37">
        <v>1049137.6599999999</v>
      </c>
      <c r="AJ1011" s="37">
        <v>1913503.94</v>
      </c>
      <c r="AK1011" s="37">
        <v>12600</v>
      </c>
      <c r="AL1011" s="37">
        <v>59053.61</v>
      </c>
    </row>
    <row r="1012" spans="1:39">
      <c r="A1012" s="36" t="s">
        <v>135</v>
      </c>
      <c r="B1012" s="419"/>
      <c r="C1012" s="39">
        <v>1549394.32</v>
      </c>
      <c r="D1012" s="39">
        <v>1003196.79</v>
      </c>
      <c r="E1012" s="39">
        <v>753260.41</v>
      </c>
      <c r="F1012" s="39">
        <v>574036.93000000005</v>
      </c>
      <c r="G1012" s="39">
        <v>422865.39</v>
      </c>
      <c r="H1012" s="39">
        <v>466711.94</v>
      </c>
      <c r="I1012" s="39">
        <v>893366.86</v>
      </c>
      <c r="J1012" s="39">
        <v>953692.01</v>
      </c>
      <c r="K1012" s="39">
        <v>1586817.55</v>
      </c>
      <c r="L1012" s="39">
        <v>662319.81000000006</v>
      </c>
      <c r="M1012" s="39">
        <v>1018097.63</v>
      </c>
      <c r="N1012" s="39">
        <v>1905646.61</v>
      </c>
      <c r="O1012" s="39">
        <v>1272634.3899999999</v>
      </c>
      <c r="P1012" s="39">
        <v>571826.18999999994</v>
      </c>
      <c r="Q1012" s="39">
        <v>411515.79</v>
      </c>
      <c r="R1012" s="39">
        <v>1229537</v>
      </c>
      <c r="S1012" s="39">
        <v>103354.13</v>
      </c>
      <c r="T1012" s="39">
        <v>519364.81</v>
      </c>
      <c r="U1012" s="39">
        <v>287020.65000000002</v>
      </c>
      <c r="V1012" s="39">
        <v>127187.62</v>
      </c>
      <c r="W1012" s="39">
        <v>292918.48</v>
      </c>
      <c r="X1012" s="39">
        <v>443391.45</v>
      </c>
      <c r="Y1012" s="39">
        <v>438759.95</v>
      </c>
      <c r="Z1012" s="39">
        <v>88565.56</v>
      </c>
      <c r="AA1012" s="39">
        <v>181348.48000000001</v>
      </c>
      <c r="AB1012" s="39">
        <v>86470.22</v>
      </c>
      <c r="AC1012" s="39">
        <v>37276.06</v>
      </c>
      <c r="AD1012" s="39">
        <v>32025</v>
      </c>
      <c r="AE1012" s="39">
        <v>199404.95</v>
      </c>
      <c r="AF1012" s="39">
        <v>387202.51</v>
      </c>
      <c r="AG1012" s="39">
        <v>772586.53</v>
      </c>
      <c r="AH1012" s="39">
        <v>1317818.8999999999</v>
      </c>
      <c r="AI1012" s="39">
        <v>953022.18</v>
      </c>
      <c r="AJ1012" s="39">
        <v>1835809.4</v>
      </c>
      <c r="AK1012" s="39">
        <v>82507.149999999994</v>
      </c>
      <c r="AL1012" s="39">
        <v>44343.01</v>
      </c>
    </row>
    <row r="1013" spans="1:39">
      <c r="A1013" s="36" t="s">
        <v>136</v>
      </c>
      <c r="B1013" s="419"/>
      <c r="C1013" s="39">
        <v>-378803.16</v>
      </c>
      <c r="D1013" s="39">
        <v>38847.4</v>
      </c>
      <c r="E1013" s="39">
        <v>-150301.64000000001</v>
      </c>
      <c r="F1013" s="39">
        <v>60467.31</v>
      </c>
      <c r="G1013" s="39">
        <v>-1097071</v>
      </c>
      <c r="H1013" s="39">
        <v>320404.40000000002</v>
      </c>
      <c r="I1013" s="39">
        <v>49903.16</v>
      </c>
      <c r="J1013" s="39">
        <v>-680.14</v>
      </c>
      <c r="K1013" s="39">
        <v>-128344.3</v>
      </c>
      <c r="L1013" s="39">
        <v>-223856.33</v>
      </c>
      <c r="M1013" s="39">
        <v>54689</v>
      </c>
      <c r="N1013" s="39">
        <v>-38104.199999999997</v>
      </c>
      <c r="O1013" s="39">
        <v>23360.3</v>
      </c>
      <c r="P1013" s="39">
        <v>271180.56</v>
      </c>
      <c r="Q1013" s="39">
        <v>6216.28</v>
      </c>
      <c r="R1013" s="39">
        <v>546591.80000000005</v>
      </c>
      <c r="S1013" s="39">
        <v>5235.01</v>
      </c>
      <c r="T1013" s="39">
        <v>-192645.94</v>
      </c>
      <c r="U1013" s="39">
        <v>-21215.03</v>
      </c>
      <c r="V1013" s="39">
        <v>33344.629999999997</v>
      </c>
      <c r="W1013" s="39">
        <v>-204238.86</v>
      </c>
      <c r="X1013" s="39">
        <v>178586.72</v>
      </c>
      <c r="Y1013" s="39">
        <v>-432219.84</v>
      </c>
      <c r="Z1013" s="39">
        <v>-73215.820000000007</v>
      </c>
      <c r="AA1013" s="39">
        <v>-193947.4</v>
      </c>
      <c r="AB1013" s="39">
        <v>-86554.35</v>
      </c>
      <c r="AC1013" s="39">
        <v>-37357.440000000002</v>
      </c>
      <c r="AD1013" s="39">
        <v>-32106.38</v>
      </c>
      <c r="AE1013" s="39">
        <v>-169921.71</v>
      </c>
      <c r="AF1013" s="39">
        <v>-370225.45</v>
      </c>
      <c r="AG1013" s="39">
        <v>-774136.98</v>
      </c>
      <c r="AH1013" s="39">
        <v>-1286336.1200000001</v>
      </c>
      <c r="AI1013" s="39">
        <v>224197.64</v>
      </c>
      <c r="AJ1013" s="39">
        <v>319581</v>
      </c>
      <c r="AK1013" s="39">
        <v>-33643.43</v>
      </c>
      <c r="AL1013" s="39">
        <v>32644.65</v>
      </c>
    </row>
    <row r="1014" spans="1:39">
      <c r="A1014" s="36" t="s">
        <v>137</v>
      </c>
      <c r="B1014" s="419"/>
      <c r="C1014" s="39">
        <v>423209.18</v>
      </c>
      <c r="D1014" s="39">
        <v>92411.93</v>
      </c>
      <c r="E1014" s="39">
        <v>0</v>
      </c>
      <c r="F1014" s="39">
        <v>0</v>
      </c>
      <c r="G1014" s="39">
        <v>214873.51</v>
      </c>
      <c r="H1014" s="39">
        <v>0</v>
      </c>
      <c r="I1014" s="39">
        <v>0</v>
      </c>
      <c r="J1014" s="39">
        <v>0</v>
      </c>
      <c r="K1014" s="39">
        <v>89809.83</v>
      </c>
      <c r="L1014" s="39">
        <v>0</v>
      </c>
      <c r="M1014" s="39">
        <v>0</v>
      </c>
      <c r="N1014" s="39">
        <v>0</v>
      </c>
      <c r="O1014" s="39">
        <v>0</v>
      </c>
      <c r="P1014" s="39">
        <v>0</v>
      </c>
      <c r="Q1014" s="39">
        <v>0</v>
      </c>
      <c r="R1014" s="39">
        <v>0</v>
      </c>
      <c r="S1014" s="39">
        <v>0</v>
      </c>
      <c r="T1014" s="39">
        <v>0</v>
      </c>
      <c r="U1014" s="39">
        <v>0</v>
      </c>
      <c r="V1014" s="39">
        <v>9999.99</v>
      </c>
      <c r="W1014" s="39">
        <v>0</v>
      </c>
      <c r="X1014" s="39">
        <v>0</v>
      </c>
      <c r="Y1014" s="39">
        <v>331789.58</v>
      </c>
      <c r="Z1014" s="39">
        <v>0</v>
      </c>
      <c r="AA1014" s="39">
        <v>0</v>
      </c>
      <c r="AB1014" s="39">
        <v>0</v>
      </c>
      <c r="AC1014" s="39">
        <v>3934.72</v>
      </c>
      <c r="AD1014" s="39">
        <v>15963.65</v>
      </c>
      <c r="AE1014" s="39">
        <v>129581.41</v>
      </c>
      <c r="AF1014" s="39">
        <v>400312.29</v>
      </c>
      <c r="AG1014" s="39">
        <v>417169.24</v>
      </c>
      <c r="AH1014" s="39">
        <v>1779512.81</v>
      </c>
      <c r="AI1014" s="39">
        <v>119781.6</v>
      </c>
      <c r="AJ1014" s="39">
        <v>0</v>
      </c>
      <c r="AK1014" s="39">
        <v>9396</v>
      </c>
      <c r="AL1014" s="39">
        <v>0</v>
      </c>
    </row>
    <row r="1015" spans="1:39" ht="14.65" thickBot="1">
      <c r="A1015" s="44" t="s">
        <v>138</v>
      </c>
      <c r="B1015" s="420"/>
      <c r="C1015" s="45">
        <v>698699.36</v>
      </c>
      <c r="D1015" s="45">
        <v>5637.01</v>
      </c>
      <c r="E1015" s="45">
        <v>232742.77</v>
      </c>
      <c r="F1015" s="45">
        <v>1.76</v>
      </c>
      <c r="G1015" s="45">
        <v>5812.01</v>
      </c>
      <c r="H1015" s="45">
        <v>0.01</v>
      </c>
      <c r="I1015" s="45">
        <v>0.01</v>
      </c>
      <c r="J1015" s="45">
        <v>0.01</v>
      </c>
      <c r="K1015" s="45">
        <v>2082.91</v>
      </c>
      <c r="L1015" s="45">
        <v>3608</v>
      </c>
      <c r="M1015" s="45">
        <v>0.01</v>
      </c>
      <c r="N1015" s="45">
        <v>0.01</v>
      </c>
      <c r="O1015" s="45">
        <v>0.01</v>
      </c>
      <c r="P1015" s="45">
        <v>175000.01</v>
      </c>
      <c r="Q1015" s="45">
        <v>0.01</v>
      </c>
      <c r="R1015" s="45">
        <v>0.01</v>
      </c>
      <c r="S1015" s="45">
        <v>0.01</v>
      </c>
      <c r="T1015" s="45">
        <v>0.01</v>
      </c>
      <c r="U1015" s="45">
        <v>0.01</v>
      </c>
      <c r="V1015" s="45">
        <v>0.01</v>
      </c>
      <c r="W1015" s="45">
        <v>0.01</v>
      </c>
      <c r="X1015" s="45">
        <v>0.01</v>
      </c>
      <c r="Y1015" s="45">
        <v>609.99</v>
      </c>
      <c r="Z1015" s="45">
        <v>890.2</v>
      </c>
      <c r="AA1015" s="45">
        <v>0.01</v>
      </c>
      <c r="AB1015" s="45">
        <v>0.01</v>
      </c>
      <c r="AC1015" s="45">
        <v>0.01</v>
      </c>
      <c r="AD1015" s="45">
        <v>0.01</v>
      </c>
      <c r="AE1015" s="45">
        <v>12440.32</v>
      </c>
      <c r="AF1015" s="45">
        <v>0.01</v>
      </c>
      <c r="AG1015" s="45">
        <v>484.7</v>
      </c>
      <c r="AH1015" s="45">
        <v>484.7</v>
      </c>
      <c r="AI1015" s="45">
        <v>6557.16</v>
      </c>
      <c r="AJ1015" s="45">
        <v>0.01</v>
      </c>
      <c r="AK1015" s="45">
        <v>1180.01</v>
      </c>
      <c r="AL1015" s="45">
        <v>590</v>
      </c>
    </row>
    <row r="1016" spans="1:39" ht="14.65" thickBot="1"/>
    <row r="1017" spans="1:39">
      <c r="A1017" s="47" t="s">
        <v>139</v>
      </c>
      <c r="B1017" s="48" t="s">
        <v>140</v>
      </c>
      <c r="C1017" t="s">
        <v>141</v>
      </c>
      <c r="E1017" s="455" t="s">
        <v>142</v>
      </c>
      <c r="F1017" s="455"/>
      <c r="I1017" s="414" t="s">
        <v>143</v>
      </c>
      <c r="J1017" s="414"/>
      <c r="M1017" s="415" t="s">
        <v>144</v>
      </c>
      <c r="N1017" s="415"/>
    </row>
    <row r="1018" spans="1:39">
      <c r="A1018" s="24" t="s">
        <v>145</v>
      </c>
      <c r="B1018" s="72">
        <v>0.35</v>
      </c>
      <c r="C1018" s="217">
        <f>+B1018*F1022</f>
        <v>0.52499999999999991</v>
      </c>
      <c r="E1018" s="49" t="s">
        <v>146</v>
      </c>
      <c r="F1018" s="23">
        <f>IF(B1074&gt;=(B1075*1.5),100,IF(B1074&gt;=(B1075*1.3),80,IF(B1074&gt;=(B1075*1),50,IF(B1074&gt;=(B1075*0.75),30,IF(B1074&gt;=(B1075*0.5),15,IF(B1074&gt;=(B1075*0.25),10,IF(B1074&gt;=(B1075*0.1),0,-30)))))))</f>
        <v>-30</v>
      </c>
      <c r="G1018" s="7"/>
      <c r="I1018" s="49" t="s">
        <v>147</v>
      </c>
      <c r="J1018">
        <f>IF(B1059&lt;0.02,100,IF(B1059&lt;0.05,70,IF(B1059&lt;0.1,40,0)))</f>
        <v>0</v>
      </c>
      <c r="M1018" s="49" t="s">
        <v>148</v>
      </c>
      <c r="N1018">
        <f>IF(B1052&gt;=36,100,
IF(B1052&gt;=24,80,
IF(B1052&gt;=12,60,40)))</f>
        <v>100</v>
      </c>
    </row>
    <row r="1019" spans="1:39">
      <c r="A1019" s="24" t="s">
        <v>61</v>
      </c>
      <c r="B1019" s="72">
        <v>0.25</v>
      </c>
      <c r="C1019" s="217">
        <f>+B1019*N1025</f>
        <v>-0.125</v>
      </c>
      <c r="E1019" s="49" t="s">
        <v>149</v>
      </c>
      <c r="F1019">
        <f>IF(B1041&gt;0.3,100,IF(B1041&gt;0.2,80,IF(B1041&gt;0.15,60,IF(B1041&gt;0.1,40,IF(B1041&gt;0.05,20,IF(B1041&gt;0,0,-20))))))</f>
        <v>-20</v>
      </c>
      <c r="G1019" s="7"/>
      <c r="I1019" s="49" t="s">
        <v>150</v>
      </c>
      <c r="J1019">
        <f>IF(B1053=1,-100,100)</f>
        <v>100</v>
      </c>
      <c r="M1019" s="49" t="s">
        <v>151</v>
      </c>
      <c r="N1019">
        <f>IF(B1051&gt;=24,100,
IF(B1051&gt;=12,80,
IF(B1051&gt;=6,60,40)))</f>
        <v>100</v>
      </c>
    </row>
    <row r="1020" spans="1:39" ht="14.65" thickBot="1">
      <c r="A1020" s="24" t="s">
        <v>152</v>
      </c>
      <c r="B1020" s="72">
        <v>7.4999999999999997E-2</v>
      </c>
      <c r="C1020" s="217">
        <f>+B1020*J1021</f>
        <v>5</v>
      </c>
      <c r="E1020" s="49" t="s">
        <v>153</v>
      </c>
      <c r="F1020">
        <f>IF(B1044&lt;0.1,100,IF(B1044&lt;0.2,70,IF(B1044&lt;0.3,50,IF(B1044&lt;0.4,30,IF(B1044&lt;0.5,20,IF(B1044&gt;0.5,0,))))))</f>
        <v>30</v>
      </c>
      <c r="G1020" s="7"/>
      <c r="I1020" s="49" t="s">
        <v>154</v>
      </c>
      <c r="J1020">
        <f>IF(B1063="NO FACHADA",100,-50)</f>
        <v>100</v>
      </c>
      <c r="M1020" s="49" t="s">
        <v>155</v>
      </c>
      <c r="N1020">
        <f>IF(B1048&gt;0.2,100,
IF(B1048&gt;0.1,80,
IF(B1048&gt;0,40,IF(B1048&gt;-0.05,0,-40))))</f>
        <v>-40</v>
      </c>
    </row>
    <row r="1021" spans="1:39" ht="15" thickTop="1" thickBot="1">
      <c r="A1021" s="24" t="s">
        <v>156</v>
      </c>
      <c r="B1021" s="72">
        <v>7.4999999999999997E-2</v>
      </c>
      <c r="C1021" s="217">
        <f>+B1021*J1027</f>
        <v>2.125</v>
      </c>
      <c r="E1021" s="49" t="str">
        <f>+A1077</f>
        <v>Activo VS ventas anuales</v>
      </c>
      <c r="F1021">
        <f>IF(B1077&lt;0.1,100,
IF(B1077&lt;0.2,80,
IF(B1077&lt;0.3,40,IF(B1077&lt;0.5,20,IF(B1077&lt;0.7,0,-40)))))</f>
        <v>100</v>
      </c>
      <c r="G1021" s="7"/>
      <c r="J1021" s="215">
        <f>AVERAGE(J1018,J1019,J1020)</f>
        <v>66.666666666666671</v>
      </c>
      <c r="M1021" s="49" t="s">
        <v>402</v>
      </c>
      <c r="N1021" s="441">
        <f>+D1049</f>
        <v>-20</v>
      </c>
    </row>
    <row r="1022" spans="1:39" ht="15" thickTop="1" thickBot="1">
      <c r="A1022" s="50" t="s">
        <v>158</v>
      </c>
      <c r="B1022" s="368">
        <v>0.25</v>
      </c>
      <c r="C1022" s="217">
        <f>+B1022*F1027</f>
        <v>9.6499999999999986</v>
      </c>
      <c r="D1022" s="217">
        <f>+B1022*G1027</f>
        <v>-5</v>
      </c>
      <c r="F1022" s="215">
        <f>F1018*0.4 + F1019*0.3 + F1020*0.15+F1021*0.15</f>
        <v>1.5</v>
      </c>
      <c r="G1022" s="7"/>
      <c r="M1022" s="49" t="s">
        <v>157</v>
      </c>
      <c r="N1022">
        <f>IF(B1037&lt;30,100,IF(B1037&lt;45,90,IF(B1037&lt;60,75,IF(B1037&lt;75,60,IF(B1037&lt;90,40,20)))))</f>
        <v>100</v>
      </c>
    </row>
    <row r="1023" spans="1:39" ht="16.149999999999999" thickBot="1">
      <c r="A1023" s="377" t="s">
        <v>360</v>
      </c>
      <c r="B1023" s="378">
        <f>+(C1018+C1019+C1020+C1021+C1022)*10</f>
        <v>171.74999999999997</v>
      </c>
      <c r="I1023" s="416" t="s">
        <v>160</v>
      </c>
      <c r="J1023" s="416"/>
      <c r="M1023" s="49" t="s">
        <v>159</v>
      </c>
      <c r="N1023">
        <f>IF(AND(B1038&gt;=30,B1038&lt;=60),100,IF(OR(AND(B1038&gt;=15,B1038&lt;30),AND(B1038&gt;60,B1038&lt;=75)),70,20))</f>
        <v>20</v>
      </c>
    </row>
    <row r="1024" spans="1:39" ht="16.149999999999999" thickBot="1">
      <c r="A1024" s="44" t="s">
        <v>361</v>
      </c>
      <c r="B1024" s="379">
        <f>+(C1018+C1019+C1020+C1021+D1022)*10</f>
        <v>25.250000000000004</v>
      </c>
      <c r="C1024" s="384" t="str">
        <f>IF(B1024&gt;=850,"Excelente Candidato",
IF(B1024&gt;=700,"Aprobación",
IF(B1024&gt;=550,"Aprobar con Aval",
IF(B1024&gt;=500,"Revisar con Obligado",IF(B1024&gt;=400,"Solicitar Aval * Depósitos","Sugerenica Rechazo")))))</f>
        <v>Sugerenica Rechazo</v>
      </c>
      <c r="E1024" s="417" t="s">
        <v>161</v>
      </c>
      <c r="F1024" s="417"/>
      <c r="G1024" s="23" t="s">
        <v>162</v>
      </c>
      <c r="I1024" s="49" t="s">
        <v>163</v>
      </c>
      <c r="J1024">
        <f>IF(B1055&lt;1500,100,IF(B1055&lt;2000,50,IF(B1055&lt;2500,25,IF(B1055&lt;3500,0,IF(B1055&gt;=3500,-30,)))))</f>
        <v>25</v>
      </c>
      <c r="M1024" s="49" t="str">
        <f>+A1043</f>
        <v>Coeficiente Variacion Flujo</v>
      </c>
      <c r="N1024">
        <f>IF(B1033&lt;0,IF(B1043&gt;2,-30,0),IF(B1043&lt;1,100,IF(B1043&lt;2,70,IF(B1043&lt;3,40,IF(B1043&lt;4,30,IF(B1043&lt;5,0,-30))))))</f>
        <v>-30</v>
      </c>
    </row>
    <row r="1025" spans="1:14" ht="15" thickTop="1" thickBot="1">
      <c r="A1025" s="8" t="s">
        <v>164</v>
      </c>
      <c r="B1025" s="383" t="str">
        <f>IF(B1024&gt;=850,"Muy poco riesgo",
IF(B1024&gt;=700,"Riesgo Bajo",
IF(B1024&gt;=600,"Riesgo aceptable",
IF(B1024&gt;=500,"Riesgo Medio",IF(B1024&gt;=400,"Riesgo Alto","Riesgo muy Alto")))))</f>
        <v>Riesgo muy Alto</v>
      </c>
      <c r="C1025" s="318" t="str">
        <f>+IF(B1054="RECHAZAR","RECHAZAR",IF(B1060="ALERTA","ALERTA","NO en listas negras"))</f>
        <v>NO en listas negras</v>
      </c>
      <c r="E1025" s="49" t="s">
        <v>165</v>
      </c>
      <c r="F1025">
        <f>IF(B1061&gt;=330,100,IF(B1061&gt;=300,80,IF(B1061&gt;=270,72,IF(B1061&gt;=240,68,IF(B1061&gt;=220,64,IF(B1061&gt;=200,40,IF(B1061&gt;=180,10,IF(B1061="",30,0))))))))</f>
        <v>68</v>
      </c>
      <c r="G1025" s="2" t="s">
        <v>166</v>
      </c>
      <c r="I1025" s="442" t="s">
        <v>403</v>
      </c>
      <c r="J1025" s="23">
        <f>IF(B1057&lt;0.025,100,IF(B1057&lt;0.05,80,IF(B1057&lt;0.075,50,IF(B1057&lt;0.1,0,IF(B1057&lt;0.15,-20,IF(B1057&gt;0.25,-30,-40))))))</f>
        <v>-40</v>
      </c>
      <c r="N1025" s="357">
        <f>(N1018*0.025)+(N1019*0.025)+(N1020*0.3)+(N1021*0.15)+(N1022*0.15)+(N1023*0.1)+(N1024*0.25)</f>
        <v>-0.5</v>
      </c>
    </row>
    <row r="1026" spans="1:14" ht="15" thickTop="1" thickBot="1">
      <c r="A1026" s="8" t="s">
        <v>136</v>
      </c>
      <c r="B1026" s="319" t="str">
        <f>+C1076</f>
        <v>Negativo</v>
      </c>
      <c r="C1026" s="320" t="str">
        <f>+B1063</f>
        <v>NO FACHADA</v>
      </c>
      <c r="E1026" s="8" t="str">
        <f>+A1039</f>
        <v>CxP / Flujo Operativo</v>
      </c>
      <c r="F1026" s="23">
        <f>IF(B1039&lt;=0, -30, IF(B1039&lt;1, 100, IF(B1039&lt;2, 70, IF(B1039&lt;3, 40, IF(B1039&lt;5, 30, 0)))))</f>
        <v>-30</v>
      </c>
      <c r="G1026" s="385">
        <f>IF(B1033&lt;0, -20, IF(B1039&lt;1, 100, IF(B1039&lt;2, 70, IF(B1039&lt;3, 40, IF(B1039&lt;5, 30, 0)))))</f>
        <v>-20</v>
      </c>
      <c r="I1026" s="49" t="s">
        <v>168</v>
      </c>
      <c r="J1026">
        <f>IF(B1058&lt;0.05,100,
IF(B1058&lt;0.1,80,IF(B1058&lt;0.2,50,IF(B1058&lt;0.4,0,-40))))</f>
        <v>100</v>
      </c>
      <c r="L1026" t="s">
        <v>169</v>
      </c>
    </row>
    <row r="1027" spans="1:14" ht="15" thickTop="1" thickBot="1">
      <c r="A1027" s="8" t="s">
        <v>156</v>
      </c>
      <c r="B1027" s="321" t="str">
        <f>+B1056</f>
        <v>ALERTA CONCENTRACION</v>
      </c>
      <c r="C1027" s="322" t="str">
        <f>+C1073</f>
        <v>Flujo Insuficiente</v>
      </c>
      <c r="F1027" s="214">
        <f>(F1025*0.7)+(F1026*0.3)</f>
        <v>38.599999999999994</v>
      </c>
      <c r="G1027" s="214">
        <f>(G1026*1)</f>
        <v>-20</v>
      </c>
      <c r="J1027" s="215">
        <f>AVERAGE(J1024,J1025,J1026)</f>
        <v>28.333333333333332</v>
      </c>
      <c r="L1027" t="s">
        <v>102</v>
      </c>
      <c r="M1027" t="s">
        <v>103</v>
      </c>
    </row>
    <row r="1028" spans="1:14">
      <c r="L1028" t="s">
        <v>150</v>
      </c>
      <c r="M1028" t="s">
        <v>170</v>
      </c>
    </row>
    <row r="1029" spans="1:14" ht="21.4" thickBot="1">
      <c r="A1029" s="51" t="s">
        <v>171</v>
      </c>
      <c r="B1029" s="52" t="s">
        <v>172</v>
      </c>
      <c r="D1029" s="53"/>
      <c r="L1029" t="s">
        <v>173</v>
      </c>
      <c r="M1029" t="s">
        <v>170</v>
      </c>
    </row>
    <row r="1030" spans="1:14" ht="14.65" thickBot="1">
      <c r="A1030" s="55" t="s">
        <v>174</v>
      </c>
      <c r="B1030" s="56" t="s">
        <v>175</v>
      </c>
      <c r="C1030" s="56" t="s">
        <v>176</v>
      </c>
      <c r="D1030" s="56" t="s">
        <v>177</v>
      </c>
      <c r="E1030" s="56" t="s">
        <v>178</v>
      </c>
      <c r="L1030" t="s">
        <v>179</v>
      </c>
      <c r="M1030" t="s">
        <v>170</v>
      </c>
    </row>
    <row r="1031" spans="1:14">
      <c r="A1031" t="s">
        <v>180</v>
      </c>
      <c r="B1031" s="358">
        <f>AVERAGE(C1011:N1011)</f>
        <v>858485.31500000006</v>
      </c>
      <c r="C1031" s="359">
        <f>AVERAGE(C1011:AL1011)</f>
        <v>605090.3872222224</v>
      </c>
      <c r="D1031" s="2" t="str">
        <f>IF(B1031/B1032&gt;1.5,"Bien",IF(B1031/B1032&gt;1.3,"Ok",IF(B1031/B1032&gt;1.2,"Revisar",IF(B1031/B1032&gt;1.15,"Muy Bajo","Alerta"))))</f>
        <v>Alerta</v>
      </c>
      <c r="E1031" s="57" t="s">
        <v>181</v>
      </c>
      <c r="L1031" t="s">
        <v>182</v>
      </c>
      <c r="M1031" t="s">
        <v>183</v>
      </c>
    </row>
    <row r="1032" spans="1:14">
      <c r="A1032" t="s">
        <v>184</v>
      </c>
      <c r="B1032" s="358">
        <f>AVERAGE(C1012:N1012)</f>
        <v>982450.52083333349</v>
      </c>
      <c r="C1032" s="359">
        <f>AVERAGE(C1012:AL1012)</f>
        <v>652924.90722222207</v>
      </c>
      <c r="D1032" s="53" t="str">
        <f>IF(B1032/B1031&lt;0.6,"Bien",IF(B1032/B1031&lt;0.76,"Ok",IF(B1032/B1031&lt;0.8,"Revisar",IF(B1032/B1031&lt;0.89,"Riesgo","Alerta"))))</f>
        <v>Alerta</v>
      </c>
      <c r="E1032" s="57" t="s">
        <v>185</v>
      </c>
      <c r="L1032" t="s">
        <v>186</v>
      </c>
      <c r="M1032" t="s">
        <v>183</v>
      </c>
    </row>
    <row r="1033" spans="1:14">
      <c r="A1033" t="s">
        <v>187</v>
      </c>
      <c r="B1033" s="358">
        <f>AVERAGE(C1013:N1013)</f>
        <v>-124404.125</v>
      </c>
      <c r="C1033" s="359">
        <f>AVERAGE(C1013:AL1013)</f>
        <v>-104435.435</v>
      </c>
      <c r="D1033" s="53" t="str">
        <f>IF(B1033/B1072&gt;2,"Bien",IF(B1033/B1072&gt;1.5,"Ok",IF(B1033/B1072&gt;1.2,"Revisión","Alerta")))</f>
        <v>Alerta</v>
      </c>
      <c r="E1033" s="57" t="s">
        <v>188</v>
      </c>
    </row>
    <row r="1034" spans="1:14">
      <c r="A1034" t="s">
        <v>189</v>
      </c>
      <c r="B1034" s="359">
        <f>B1033*IF(B1033&gt;=0, B1082, 1+(1-B1082))</f>
        <v>-161725.36250000002</v>
      </c>
      <c r="C1034" s="359">
        <f>C1033*IF(C1033&gt;=0, B1082, 1+(1-B1082))</f>
        <v>-135766.0655</v>
      </c>
      <c r="D1034" s="2" t="str">
        <f>IF(B1034/B1072&gt;2,"Bien",IF(B1034/B1072&gt;1.5,"Ok",IF(B1034/B1072&gt;1.2,"Revisión","Alerta")))</f>
        <v>Alerta</v>
      </c>
      <c r="E1034" s="57" t="s">
        <v>190</v>
      </c>
    </row>
    <row r="1035" spans="1:14">
      <c r="A1035" t="s">
        <v>191</v>
      </c>
      <c r="B1035" s="358">
        <f>AVERAGE(C1014:N1014)</f>
        <v>68358.704166666663</v>
      </c>
      <c r="C1035" s="359">
        <f>AVERAGE(C1014:AL1014)</f>
        <v>112159.6038888889</v>
      </c>
      <c r="E1035" s="9" t="s">
        <v>192</v>
      </c>
    </row>
    <row r="1036" spans="1:14">
      <c r="A1036" t="s">
        <v>193</v>
      </c>
      <c r="B1036" s="358">
        <f>AVERAGE(C1015:N1015)</f>
        <v>79048.655833333338</v>
      </c>
      <c r="C1036" s="359">
        <f>AVERAGE(C1015:AL1015)</f>
        <v>31856.141944444447</v>
      </c>
      <c r="E1036" s="9" t="s">
        <v>194</v>
      </c>
    </row>
    <row r="1037" spans="1:14">
      <c r="A1037" t="s">
        <v>195</v>
      </c>
      <c r="B1037" s="360">
        <f>+(B1035/B1031)*30</f>
        <v>2.3888132844765084</v>
      </c>
      <c r="C1037" s="360">
        <f>+(C1035/C1031)*30</f>
        <v>5.5608024647579342</v>
      </c>
      <c r="D1037" s="10" t="str">
        <f>+IF(B1037&gt;B1038,"Financia a Proveedores", "Proveedores la Financian")</f>
        <v>Proveedores la Financian</v>
      </c>
      <c r="E1037" s="9" t="s">
        <v>196</v>
      </c>
    </row>
    <row r="1038" spans="1:14">
      <c r="A1038" t="s">
        <v>197</v>
      </c>
      <c r="B1038" s="360">
        <f>+(B1036/B1032)*30</f>
        <v>2.4138209759291311</v>
      </c>
      <c r="C1038" s="360">
        <f>+(C1036/C1032)*30</f>
        <v>1.463697046570269</v>
      </c>
      <c r="D1038" s="10" t="str">
        <f>+IF(B1038&gt;B1037,"Proveedores la Financian","Financia a Proveedores")</f>
        <v>Proveedores la Financian</v>
      </c>
      <c r="E1038" s="9" t="s">
        <v>196</v>
      </c>
    </row>
    <row r="1039" spans="1:14">
      <c r="A1039" t="s">
        <v>198</v>
      </c>
      <c r="B1039" s="208">
        <f>+((B1036*4.5)/(B1033*12))</f>
        <v>-0.23828185711285702</v>
      </c>
      <c r="C1039" s="208">
        <f>+(C1036*4.5)/(C1033*12)</f>
        <v>-0.1143869724788973</v>
      </c>
      <c r="D1039" s="59" t="str">
        <f>IF(B1039&lt;=0,"ALERTA",(B1036*4.5)/(B1033*12))</f>
        <v>ALERTA</v>
      </c>
      <c r="E1039" s="57" t="s">
        <v>346</v>
      </c>
      <c r="I1039" t="s">
        <v>199</v>
      </c>
    </row>
    <row r="1040" spans="1:14">
      <c r="A1040" t="s">
        <v>200</v>
      </c>
      <c r="B1040" s="427"/>
      <c r="C1040" s="360"/>
      <c r="E1040" t="s">
        <v>201</v>
      </c>
    </row>
    <row r="1041" spans="1:5">
      <c r="A1041" t="s">
        <v>202</v>
      </c>
      <c r="B1041" s="60">
        <f>(B1033/B1031)</f>
        <v>-0.14491118581335313</v>
      </c>
      <c r="C1041" s="60">
        <f>(C1033/C1031)</f>
        <v>-0.17259476799727372</v>
      </c>
      <c r="D1041" s="2" t="str">
        <f>IF(B1041&lt;=0,"ALERTA",(B1038*4.5)/(B1035*12))</f>
        <v>ALERTA</v>
      </c>
      <c r="E1041" s="57" t="s">
        <v>203</v>
      </c>
    </row>
    <row r="1042" spans="1:5">
      <c r="A1042" t="s">
        <v>362</v>
      </c>
      <c r="B1042" s="381">
        <f>_xlfn.STDEV.P(C1013:N1013)</f>
        <v>337302.09956170944</v>
      </c>
      <c r="C1042" s="381">
        <f>_xlfn.STDEV.P(C1013:AL1013)</f>
        <v>351889.00610707415</v>
      </c>
      <c r="E1042" s="57" t="s">
        <v>204</v>
      </c>
    </row>
    <row r="1043" spans="1:5">
      <c r="A1043" t="s">
        <v>205</v>
      </c>
      <c r="B1043" s="382">
        <f>ABS(B1042/B1033)</f>
        <v>2.7113417626763536</v>
      </c>
      <c r="C1043" s="366">
        <f>C1042/C1033</f>
        <v>-3.3694407085782152</v>
      </c>
      <c r="D1043" s="57"/>
      <c r="E1043" s="57" t="s">
        <v>370</v>
      </c>
    </row>
    <row r="1044" spans="1:5">
      <c r="A1044" t="s">
        <v>371</v>
      </c>
      <c r="B1044" s="60">
        <f>(B1042/B1031)</f>
        <v>0.39290374997469751</v>
      </c>
      <c r="C1044" s="60">
        <f>+(C1042/C1031)</f>
        <v>0.58154783737762672</v>
      </c>
      <c r="D1044" s="2" t="str">
        <f>+IF(B1044&lt;20%,"Estables",IF(B1044&lt;40%,"Normal",IF(B1044&gt;40%,"Volatil")))</f>
        <v>Normal</v>
      </c>
      <c r="E1044" s="57" t="s">
        <v>207</v>
      </c>
    </row>
    <row r="1045" spans="1:5">
      <c r="A1045" t="s">
        <v>208</v>
      </c>
      <c r="B1045" s="361">
        <f>COUNTIF(E1011:P1011,"&gt;0")</f>
        <v>12</v>
      </c>
      <c r="C1045" s="362">
        <f>COUNTIF(E1011:AN1011,"&gt;0")</f>
        <v>31</v>
      </c>
      <c r="E1045" s="57" t="s">
        <v>209</v>
      </c>
    </row>
    <row r="1046" spans="1:5">
      <c r="A1046" t="s">
        <v>210</v>
      </c>
      <c r="B1046" s="363">
        <f>B1045/12</f>
        <v>1</v>
      </c>
      <c r="C1046" s="363">
        <f>C1045/36</f>
        <v>0.86111111111111116</v>
      </c>
      <c r="D1046" s="2" t="str">
        <f>+IF(B1046&gt;90%,"Estable",IF(B1046&gt;50%,"Intermitente",IF(B1046&lt;50%,"Riesgoso")))</f>
        <v>Estable</v>
      </c>
      <c r="E1046" s="57" t="s">
        <v>211</v>
      </c>
    </row>
    <row r="1047" spans="1:5">
      <c r="A1047" s="203"/>
      <c r="B1047" s="204"/>
      <c r="C1047" s="204"/>
      <c r="D1047" s="205"/>
      <c r="E1047" s="206"/>
    </row>
    <row r="1048" spans="1:5">
      <c r="A1048" t="s">
        <v>212</v>
      </c>
      <c r="B1048" s="60">
        <f>AVERAGE(C1011:H1011)/AVERAGE(I1011:N1011)-1</f>
        <v>-0.38265442843574637</v>
      </c>
      <c r="C1048" s="60">
        <f>AVERAGE(C1011:T1011)/AVERAGE(U1011:AL1011)-1</f>
        <v>1.1756823533603531</v>
      </c>
      <c r="D1048" s="59" t="str">
        <f>+IF(B1048&gt;15%,"Bueno",IF(B1048&gt;5%,"Estable",IF(B1048&gt;1%,"Bajo",IF(B1048&gt;-10%,"Alerta","Deterioro"))))</f>
        <v>Deterioro</v>
      </c>
      <c r="E1048" s="9" t="s">
        <v>213</v>
      </c>
    </row>
    <row r="1049" spans="1:5" ht="14.65" thickBot="1">
      <c r="A1049" s="23" t="s">
        <v>401</v>
      </c>
      <c r="B1049" s="439">
        <f>AVERAGE(C1012:H1012)/AVERAGE(I1012:N1012)-1</f>
        <v>-0.32058315873439291</v>
      </c>
      <c r="C1049" s="439">
        <f>AVERAGE(C1012:T1012)/AVERAGE(U1012:AL1012)-1</f>
        <v>1.089688883363463</v>
      </c>
      <c r="D1049" s="440">
        <f>IF(B1049&gt;B1048,-20,IF(B1049&lt;0,100,IF(B1049&lt;=B1048*0.5,80,IF(B1049&lt;=B1048,60,30))))</f>
        <v>-20</v>
      </c>
    </row>
    <row r="1050" spans="1:5" ht="14.65" thickBot="1">
      <c r="A1050" s="55" t="s">
        <v>214</v>
      </c>
      <c r="B1050" s="61" t="s">
        <v>215</v>
      </c>
      <c r="C1050" s="56" t="s">
        <v>178</v>
      </c>
      <c r="D1050" s="411"/>
    </row>
    <row r="1051" spans="1:5">
      <c r="A1051" s="16" t="s">
        <v>216</v>
      </c>
      <c r="B1051" s="62">
        <v>36</v>
      </c>
      <c r="C1051" s="1" t="s">
        <v>217</v>
      </c>
    </row>
    <row r="1052" spans="1:5">
      <c r="A1052" s="3" t="s">
        <v>218</v>
      </c>
      <c r="B1052" s="25">
        <v>36</v>
      </c>
      <c r="C1052" s="1" t="s">
        <v>219</v>
      </c>
    </row>
    <row r="1053" spans="1:5">
      <c r="A1053" s="3" t="s">
        <v>220</v>
      </c>
      <c r="B1053" s="25">
        <v>0</v>
      </c>
      <c r="C1053" s="1" t="s">
        <v>221</v>
      </c>
    </row>
    <row r="1054" spans="1:5">
      <c r="A1054" s="3" t="s">
        <v>222</v>
      </c>
      <c r="B1054" s="4" t="str">
        <f>IF(B1053=1,"RECHAZAR","NO")</f>
        <v>NO</v>
      </c>
      <c r="C1054" s="1" t="s">
        <v>223</v>
      </c>
    </row>
    <row r="1055" spans="1:5">
      <c r="A1055" s="3" t="s">
        <v>224</v>
      </c>
      <c r="B1055" s="65">
        <v>2088</v>
      </c>
      <c r="C1055" s="1" t="s">
        <v>225</v>
      </c>
    </row>
    <row r="1056" spans="1:5">
      <c r="A1056" s="3" t="s">
        <v>226</v>
      </c>
      <c r="B1056" s="323" t="str">
        <f>IF(B1055&gt;1500,"ALERTA CONCENTRACION","OK")</f>
        <v>ALERTA CONCENTRACION</v>
      </c>
      <c r="C1056" s="1" t="s">
        <v>227</v>
      </c>
    </row>
    <row r="1057" spans="1:9">
      <c r="A1057" s="443" t="s">
        <v>403</v>
      </c>
      <c r="B1057" s="66">
        <v>0.19</v>
      </c>
      <c r="C1057" s="1" t="s">
        <v>229</v>
      </c>
    </row>
    <row r="1058" spans="1:9">
      <c r="A1058" s="3" t="s">
        <v>230</v>
      </c>
      <c r="B1058" s="66">
        <v>0</v>
      </c>
      <c r="C1058" s="1" t="s">
        <v>231</v>
      </c>
    </row>
    <row r="1059" spans="1:9">
      <c r="A1059" s="3" t="s">
        <v>232</v>
      </c>
      <c r="B1059" s="67">
        <v>0.1</v>
      </c>
      <c r="C1059" s="1" t="s">
        <v>233</v>
      </c>
    </row>
    <row r="1060" spans="1:9">
      <c r="A1060" s="3" t="s">
        <v>234</v>
      </c>
      <c r="B1060" s="68" t="str">
        <f>IF(B1059&gt;0.2,"ALERTA","OK")</f>
        <v>OK</v>
      </c>
      <c r="C1060" s="1" t="s">
        <v>177</v>
      </c>
    </row>
    <row r="1061" spans="1:9">
      <c r="A1061" s="3" t="s">
        <v>235</v>
      </c>
      <c r="B1061" s="69">
        <v>260</v>
      </c>
      <c r="C1061" s="1" t="s">
        <v>372</v>
      </c>
      <c r="I1061" t="s">
        <v>373</v>
      </c>
    </row>
    <row r="1062" spans="1:9">
      <c r="A1062" s="3" t="s">
        <v>236</v>
      </c>
      <c r="B1062" s="68" t="str">
        <f>IF(B1061&gt;175,"NO",IF(B1061="","Sin Buró","RECHAZAR"))</f>
        <v>NO</v>
      </c>
      <c r="C1062" s="1" t="s">
        <v>177</v>
      </c>
    </row>
    <row r="1063" spans="1:9" ht="14.65" thickBot="1">
      <c r="A1063" s="6" t="s">
        <v>237</v>
      </c>
      <c r="B1063" s="380" t="str">
        <f>IF(AND(B1059&gt;0.1, B1048&gt;0.5, B1055&gt;3500),"Fachada RECHAZAR","NO FACHADA")</f>
        <v>NO FACHADA</v>
      </c>
      <c r="C1063" s="1" t="s">
        <v>238</v>
      </c>
    </row>
    <row r="1064" spans="1:9" ht="14.65" thickBot="1">
      <c r="A1064" s="3" t="s">
        <v>239</v>
      </c>
      <c r="B1064" s="69">
        <v>683</v>
      </c>
    </row>
    <row r="1065" spans="1:9" ht="14.65" thickBot="1">
      <c r="A1065" s="412" t="s">
        <v>240</v>
      </c>
      <c r="B1065" s="413"/>
      <c r="C1065" s="56" t="s">
        <v>177</v>
      </c>
      <c r="D1065" s="56" t="s">
        <v>178</v>
      </c>
    </row>
    <row r="1066" spans="1:9">
      <c r="A1066" s="16" t="s">
        <v>241</v>
      </c>
      <c r="B1066" s="70">
        <f>778900+0+2088</f>
        <v>780988</v>
      </c>
      <c r="D1066" s="1" t="s">
        <v>242</v>
      </c>
    </row>
    <row r="1067" spans="1:9">
      <c r="A1067" s="3" t="s">
        <v>243</v>
      </c>
      <c r="B1067" s="71">
        <v>207000</v>
      </c>
      <c r="D1067" s="1" t="s">
        <v>244</v>
      </c>
    </row>
    <row r="1068" spans="1:9">
      <c r="A1068" s="3" t="s">
        <v>245</v>
      </c>
      <c r="B1068" s="71">
        <v>235012.93</v>
      </c>
      <c r="D1068" s="1" t="s">
        <v>245</v>
      </c>
    </row>
    <row r="1069" spans="1:9">
      <c r="A1069" s="3" t="s">
        <v>246</v>
      </c>
      <c r="B1069" s="251">
        <f>B1066-B1067</f>
        <v>573988</v>
      </c>
      <c r="D1069" s="1" t="s">
        <v>247</v>
      </c>
    </row>
    <row r="1070" spans="1:9">
      <c r="A1070" s="3" t="s">
        <v>248</v>
      </c>
      <c r="B1070" s="25">
        <v>36</v>
      </c>
    </row>
    <row r="1071" spans="1:9">
      <c r="A1071" s="3" t="s">
        <v>83</v>
      </c>
      <c r="B1071" s="72">
        <f>+IF(B1070&lt;24,30.2%,IF(B1070&lt;36,26%,IF(B1070&lt;48,24.55%,IF(B1070&lt;60,23.82%,"0%"))))</f>
        <v>0.2455</v>
      </c>
      <c r="D1071" s="73"/>
    </row>
    <row r="1072" spans="1:9">
      <c r="A1072" s="3" t="s">
        <v>249</v>
      </c>
      <c r="B1072" s="216">
        <f>+PMT(B1071/12,B1070,-B1069,B1068)</f>
        <v>18205.018035617268</v>
      </c>
      <c r="C1072" s="2" t="str">
        <f>IF(B1073/B1072&gt;2,"Bien",IF(B1073/B1072&gt;1.5,"Ok",IF(B1073/B1072&gt;1.2,"Alerta","Le falta Flujo")))</f>
        <v>Le falta Flujo</v>
      </c>
      <c r="D1072" s="1" t="s">
        <v>250</v>
      </c>
    </row>
    <row r="1073" spans="1:13">
      <c r="A1073" s="3" t="s">
        <v>189</v>
      </c>
      <c r="B1073" s="216">
        <f>B1034</f>
        <v>-161725.36250000002</v>
      </c>
      <c r="C1073" s="2" t="str">
        <f>IF(B1034/B1072&gt;2,"Buen Flujo",IF(B1034/B1072&gt;1.5,"Ok Flujo",IF(B1034/B1072&gt;1.1,"Flujo muy Justo","Flujo Insuficiente")))</f>
        <v>Flujo Insuficiente</v>
      </c>
      <c r="D1073" s="1" t="s">
        <v>251</v>
      </c>
    </row>
    <row r="1074" spans="1:13">
      <c r="A1074" s="3" t="s">
        <v>252</v>
      </c>
      <c r="B1074" s="364">
        <f>+(B1073/B1072)</f>
        <v>-8.8835595869002653</v>
      </c>
      <c r="C1074" s="2" t="str">
        <f>+IF(B1074&gt;1.5,"Comodo",IF(B1074&gt;1.1,"Aceptable",IF(B1074&lt;1.1,"Rechazo")))</f>
        <v>Rechazo</v>
      </c>
      <c r="D1074" t="s">
        <v>374</v>
      </c>
    </row>
    <row r="1075" spans="1:13">
      <c r="A1075" s="3" t="s">
        <v>253</v>
      </c>
      <c r="B1075" s="289">
        <f>IF(B1070&lt;=24,$B$584,IF(B1070&lt;=36,$B$585,IF(B1070&lt;=48,$B$586,$B$587)))</f>
        <v>2.75</v>
      </c>
      <c r="D1075" t="s">
        <v>254</v>
      </c>
    </row>
    <row r="1076" spans="1:13">
      <c r="A1076" s="3" t="s">
        <v>255</v>
      </c>
      <c r="B1076" s="365"/>
      <c r="C1076" s="4" t="str">
        <f>IF(B1074&gt;B1075,"Suficiente",IF(B1074&lt;1,"Negativo","AVAL"))</f>
        <v>Negativo</v>
      </c>
      <c r="D1076" t="s">
        <v>256</v>
      </c>
    </row>
    <row r="1077" spans="1:13">
      <c r="A1077" s="3" t="s">
        <v>257</v>
      </c>
      <c r="B1077" s="72">
        <f>+B1066/SUM(D1011:O1011)</f>
        <v>7.2807716260565578E-2</v>
      </c>
      <c r="C1077" s="2" t="str">
        <f>IF(B1077&lt;0.1,"Excelente",IF(B1077&lt;0.2,"Bien",IF(B1077&lt;0.3,"Ok",IF(B1077&lt;0.6,"Revisar",IF(B1077&lt;0.9,"Alerta","Sobrepasado")))))</f>
        <v>Excelente</v>
      </c>
      <c r="D1077" t="s">
        <v>375</v>
      </c>
    </row>
    <row r="1078" spans="1:13">
      <c r="A1078" s="3" t="s">
        <v>258</v>
      </c>
      <c r="B1078" s="216">
        <f>B1073/B1075</f>
        <v>-58809.222727272732</v>
      </c>
      <c r="C1078" s="74" t="str">
        <f>IF(B1078/B1072&gt;4,"Ok",IF(B1078/B1072&gt;2,"OK",IF((B1078/B1072)&gt;1.2,"Renta con Riesgo",IF(B1078/B1072&lt;1.1,"No Otorgar"))))</f>
        <v>No Otorgar</v>
      </c>
      <c r="D1078" t="s">
        <v>259</v>
      </c>
      <c r="G1078">
        <f>+B1078/B1072</f>
        <v>-3.2303853043273691</v>
      </c>
    </row>
    <row r="1079" spans="1:13" ht="14.65" thickBot="1">
      <c r="A1079" s="6" t="s">
        <v>260</v>
      </c>
      <c r="B1079" s="367">
        <f>IF(B1073&lt;0, 0, PV(B1071/12,B1070,-B1078))</f>
        <v>0</v>
      </c>
      <c r="C1079" s="2" t="str">
        <f>+IF(B1079/B1066&gt;1,"Otorgar",IF(B1079/B1066&gt;0.75,"Revision","No Otorgar"))</f>
        <v>No Otorgar</v>
      </c>
      <c r="D1079" t="s">
        <v>261</v>
      </c>
    </row>
    <row r="1080" spans="1:13" ht="14.65" thickBot="1"/>
    <row r="1081" spans="1:13">
      <c r="A1081" s="47" t="s">
        <v>262</v>
      </c>
      <c r="B1081" s="48" t="s">
        <v>263</v>
      </c>
    </row>
    <row r="1082" spans="1:13">
      <c r="A1082" s="24" t="s">
        <v>264</v>
      </c>
      <c r="B1082" s="25">
        <v>0.7</v>
      </c>
      <c r="M1082" t="s">
        <v>265</v>
      </c>
    </row>
    <row r="1083" spans="1:13">
      <c r="A1083" s="24" t="s">
        <v>80</v>
      </c>
      <c r="B1083" s="25">
        <v>3</v>
      </c>
      <c r="D1083" t="s">
        <v>254</v>
      </c>
    </row>
    <row r="1084" spans="1:13">
      <c r="A1084" s="24" t="s">
        <v>85</v>
      </c>
      <c r="B1084" s="25">
        <v>2.75</v>
      </c>
      <c r="D1084" t="s">
        <v>254</v>
      </c>
    </row>
    <row r="1085" spans="1:13">
      <c r="A1085" s="24" t="s">
        <v>87</v>
      </c>
      <c r="B1085" s="25">
        <v>2.5</v>
      </c>
      <c r="D1085" t="s">
        <v>254</v>
      </c>
    </row>
    <row r="1086" spans="1:13">
      <c r="A1086" s="24" t="s">
        <v>88</v>
      </c>
      <c r="B1086" s="25">
        <v>2.25</v>
      </c>
      <c r="D1086" t="s">
        <v>254</v>
      </c>
    </row>
    <row r="1087" spans="1:13">
      <c r="A1087" s="24" t="s">
        <v>266</v>
      </c>
      <c r="B1087" s="25">
        <v>6</v>
      </c>
      <c r="D1087" t="s">
        <v>267</v>
      </c>
    </row>
    <row r="1088" spans="1:13">
      <c r="A1088" s="24" t="s">
        <v>268</v>
      </c>
      <c r="B1088" s="25">
        <v>-10</v>
      </c>
      <c r="D1088" t="s">
        <v>269</v>
      </c>
    </row>
    <row r="1089" spans="1:39" ht="14.65" thickBot="1">
      <c r="A1089" s="50" t="s">
        <v>270</v>
      </c>
      <c r="B1089" s="75">
        <v>-30</v>
      </c>
      <c r="D1089" t="s">
        <v>271</v>
      </c>
    </row>
    <row r="1090" spans="1:39" ht="14.65" thickBot="1"/>
    <row r="1091" spans="1:39" ht="27" thickBot="1">
      <c r="A1091" s="453" t="s">
        <v>407</v>
      </c>
      <c r="B1091" s="454"/>
      <c r="C1091" s="454"/>
      <c r="D1091" s="454"/>
      <c r="E1091" s="454"/>
      <c r="F1091" s="388"/>
      <c r="G1091" s="388"/>
      <c r="H1091" s="389"/>
      <c r="I1091" s="386"/>
      <c r="J1091" s="386"/>
      <c r="K1091" s="386"/>
      <c r="L1091" s="386"/>
      <c r="M1091" s="386"/>
      <c r="N1091" s="386"/>
      <c r="O1091" s="386"/>
      <c r="P1091" s="386"/>
      <c r="Q1091" s="386"/>
      <c r="R1091" s="386"/>
      <c r="S1091" s="386"/>
      <c r="T1091" s="386"/>
      <c r="U1091" s="386"/>
      <c r="V1091" s="386"/>
      <c r="W1091" s="386"/>
      <c r="X1091" s="386"/>
      <c r="Y1091" s="386"/>
      <c r="Z1091" s="386"/>
      <c r="AA1091" s="386"/>
      <c r="AB1091" s="386"/>
      <c r="AC1091" s="386"/>
      <c r="AD1091" s="386"/>
      <c r="AE1091" s="386"/>
      <c r="AF1091" s="386"/>
      <c r="AG1091" s="386"/>
      <c r="AH1091" s="386"/>
      <c r="AI1091" s="386"/>
      <c r="AJ1091" s="386"/>
      <c r="AK1091" s="386"/>
      <c r="AL1091" s="390"/>
    </row>
    <row r="1092" spans="1:39" ht="14.65" thickBot="1">
      <c r="A1092" s="30" t="s">
        <v>131</v>
      </c>
      <c r="C1092" s="31">
        <v>46143</v>
      </c>
      <c r="D1092" s="31">
        <v>46113</v>
      </c>
      <c r="E1092" s="31">
        <v>46054</v>
      </c>
      <c r="F1092" s="31">
        <f>+E1092-1</f>
        <v>46053</v>
      </c>
      <c r="G1092" s="31">
        <f>+F1092-1</f>
        <v>46052</v>
      </c>
      <c r="H1092" s="31">
        <f t="shared" ref="H1092" si="326">+G1092-1</f>
        <v>46051</v>
      </c>
      <c r="I1092" s="31">
        <f t="shared" ref="I1092" si="327">+H1092-1</f>
        <v>46050</v>
      </c>
      <c r="J1092" s="31">
        <f t="shared" ref="J1092" si="328">+I1092-1</f>
        <v>46049</v>
      </c>
      <c r="K1092" s="31">
        <f t="shared" ref="K1092" si="329">+J1092-1</f>
        <v>46048</v>
      </c>
      <c r="L1092" s="31">
        <f t="shared" ref="L1092" si="330">+K1092-1</f>
        <v>46047</v>
      </c>
      <c r="M1092" s="31">
        <f t="shared" ref="M1092" si="331">+L1092-1</f>
        <v>46046</v>
      </c>
      <c r="N1092" s="31">
        <f t="shared" ref="N1092" si="332">+M1092-1</f>
        <v>46045</v>
      </c>
      <c r="O1092" s="31">
        <f t="shared" ref="O1092" si="333">+N1092-1</f>
        <v>46044</v>
      </c>
      <c r="P1092" s="31">
        <f t="shared" ref="P1092" si="334">+O1092-1</f>
        <v>46043</v>
      </c>
      <c r="Q1092" s="31">
        <f t="shared" ref="Q1092" si="335">+P1092-1</f>
        <v>46042</v>
      </c>
      <c r="R1092" s="31">
        <f t="shared" ref="R1092" si="336">+Q1092-1</f>
        <v>46041</v>
      </c>
      <c r="S1092" s="31">
        <f t="shared" ref="S1092" si="337">+R1092-1</f>
        <v>46040</v>
      </c>
      <c r="T1092" s="31">
        <f t="shared" ref="T1092" si="338">+S1092-1</f>
        <v>46039</v>
      </c>
      <c r="U1092" s="31">
        <f t="shared" ref="U1092" si="339">+T1092-1</f>
        <v>46038</v>
      </c>
      <c r="V1092" s="31">
        <f t="shared" ref="V1092" si="340">+U1092-1</f>
        <v>46037</v>
      </c>
      <c r="W1092" s="31">
        <f t="shared" ref="W1092" si="341">+V1092-1</f>
        <v>46036</v>
      </c>
      <c r="X1092" s="31">
        <f t="shared" ref="X1092" si="342">+W1092-1</f>
        <v>46035</v>
      </c>
      <c r="Y1092" s="31">
        <f t="shared" ref="Y1092" si="343">+X1092-1</f>
        <v>46034</v>
      </c>
      <c r="Z1092" s="31">
        <f t="shared" ref="Z1092" si="344">+Y1092-1</f>
        <v>46033</v>
      </c>
      <c r="AA1092" s="31">
        <f t="shared" ref="AA1092" si="345">+Z1092-1</f>
        <v>46032</v>
      </c>
      <c r="AB1092" s="31">
        <f t="shared" ref="AB1092" si="346">+AA1092-1</f>
        <v>46031</v>
      </c>
      <c r="AC1092" s="31">
        <f t="shared" ref="AC1092" si="347">+AB1092-1</f>
        <v>46030</v>
      </c>
      <c r="AD1092" s="31">
        <f t="shared" ref="AD1092" si="348">+AC1092-1</f>
        <v>46029</v>
      </c>
      <c r="AE1092" s="31">
        <f t="shared" ref="AE1092" si="349">+AD1092-1</f>
        <v>46028</v>
      </c>
      <c r="AF1092" s="31">
        <f t="shared" ref="AF1092" si="350">+AE1092-1</f>
        <v>46027</v>
      </c>
      <c r="AG1092" s="31">
        <f t="shared" ref="AG1092" si="351">+AF1092-1</f>
        <v>46026</v>
      </c>
      <c r="AH1092" s="31">
        <f t="shared" ref="AH1092" si="352">+AG1092-1</f>
        <v>46025</v>
      </c>
      <c r="AI1092" s="31">
        <f t="shared" ref="AI1092" si="353">+AH1092-1</f>
        <v>46024</v>
      </c>
      <c r="AJ1092" s="31">
        <f t="shared" ref="AJ1092" si="354">+AI1092-1</f>
        <v>46023</v>
      </c>
      <c r="AK1092" s="31">
        <f t="shared" ref="AK1092" si="355">+AJ1092-1</f>
        <v>46022</v>
      </c>
      <c r="AL1092" s="31">
        <f t="shared" ref="AL1092" si="356">+AK1092-1</f>
        <v>46021</v>
      </c>
    </row>
    <row r="1093" spans="1:39" ht="14.65" thickBot="1">
      <c r="A1093" s="32" t="s">
        <v>132</v>
      </c>
      <c r="C1093" s="33">
        <v>1</v>
      </c>
      <c r="D1093" s="34">
        <v>2</v>
      </c>
      <c r="E1093" s="34">
        <v>3</v>
      </c>
      <c r="F1093" s="34">
        <v>4</v>
      </c>
      <c r="G1093" s="34">
        <v>5</v>
      </c>
      <c r="H1093" s="34">
        <v>6</v>
      </c>
      <c r="I1093" s="34">
        <v>7</v>
      </c>
      <c r="J1093" s="34">
        <v>8</v>
      </c>
      <c r="K1093" s="34">
        <v>9</v>
      </c>
      <c r="L1093" s="34">
        <v>10</v>
      </c>
      <c r="M1093" s="34">
        <v>11</v>
      </c>
      <c r="N1093" s="34">
        <v>12</v>
      </c>
      <c r="O1093" s="34">
        <v>13</v>
      </c>
      <c r="P1093" s="34">
        <v>14</v>
      </c>
      <c r="Q1093" s="34">
        <v>15</v>
      </c>
      <c r="R1093" s="34">
        <v>16</v>
      </c>
      <c r="S1093" s="34">
        <v>17</v>
      </c>
      <c r="T1093" s="34">
        <v>18</v>
      </c>
      <c r="U1093" s="34">
        <v>19</v>
      </c>
      <c r="V1093" s="34">
        <v>20</v>
      </c>
      <c r="W1093" s="34">
        <v>21</v>
      </c>
      <c r="X1093" s="34">
        <v>22</v>
      </c>
      <c r="Y1093" s="34">
        <v>23</v>
      </c>
      <c r="Z1093" s="34">
        <v>24</v>
      </c>
      <c r="AA1093" s="34">
        <v>25</v>
      </c>
      <c r="AB1093" s="34">
        <v>26</v>
      </c>
      <c r="AC1093" s="34">
        <v>27</v>
      </c>
      <c r="AD1093" s="34">
        <v>28</v>
      </c>
      <c r="AE1093" s="34">
        <v>29</v>
      </c>
      <c r="AF1093" s="34">
        <v>30</v>
      </c>
      <c r="AG1093" s="34">
        <v>31</v>
      </c>
      <c r="AH1093" s="34">
        <v>32</v>
      </c>
      <c r="AI1093" s="34">
        <v>33</v>
      </c>
      <c r="AJ1093" s="34">
        <v>34</v>
      </c>
      <c r="AK1093" s="34">
        <v>35</v>
      </c>
      <c r="AL1093" s="35">
        <v>36</v>
      </c>
      <c r="AM1093">
        <v>37</v>
      </c>
    </row>
    <row r="1094" spans="1:39" ht="14.25" customHeight="1">
      <c r="A1094" s="36" t="s">
        <v>133</v>
      </c>
      <c r="B1094" s="418" t="s">
        <v>134</v>
      </c>
      <c r="C1094" s="37">
        <v>470000</v>
      </c>
      <c r="D1094" s="37">
        <v>1214000</v>
      </c>
      <c r="E1094" s="37">
        <v>58333.33</v>
      </c>
      <c r="F1094" s="37">
        <v>75000</v>
      </c>
      <c r="G1094" s="37">
        <v>0</v>
      </c>
      <c r="H1094" s="37">
        <v>273000</v>
      </c>
      <c r="I1094" s="37">
        <v>294000</v>
      </c>
      <c r="J1094" s="37">
        <v>273250</v>
      </c>
      <c r="K1094" s="37">
        <v>251300</v>
      </c>
      <c r="L1094" s="37">
        <v>507666.66</v>
      </c>
      <c r="M1094" s="37">
        <v>251825</v>
      </c>
      <c r="N1094" s="37">
        <v>253750</v>
      </c>
      <c r="O1094" s="37">
        <v>440000</v>
      </c>
      <c r="P1094" s="37">
        <v>50000</v>
      </c>
      <c r="Q1094" s="37">
        <v>30000</v>
      </c>
      <c r="R1094" s="37">
        <v>105000</v>
      </c>
      <c r="S1094" s="37">
        <v>0</v>
      </c>
      <c r="T1094" s="37">
        <v>0</v>
      </c>
      <c r="U1094" s="37">
        <v>527500</v>
      </c>
      <c r="V1094" s="37">
        <v>158343</v>
      </c>
      <c r="W1094" s="37">
        <v>0</v>
      </c>
      <c r="X1094" s="37">
        <v>0</v>
      </c>
      <c r="Y1094" s="37">
        <v>0</v>
      </c>
      <c r="Z1094" s="37">
        <v>0</v>
      </c>
      <c r="AA1094" s="37">
        <v>0</v>
      </c>
      <c r="AB1094" s="37">
        <v>0</v>
      </c>
      <c r="AC1094" s="37">
        <v>0</v>
      </c>
      <c r="AD1094" s="37">
        <v>0</v>
      </c>
      <c r="AE1094" s="37">
        <v>0</v>
      </c>
      <c r="AF1094" s="37">
        <v>0</v>
      </c>
      <c r="AG1094" s="37">
        <v>0</v>
      </c>
      <c r="AH1094" s="37">
        <v>0</v>
      </c>
      <c r="AI1094" s="37">
        <v>0</v>
      </c>
      <c r="AJ1094" s="37">
        <v>0</v>
      </c>
      <c r="AK1094" s="37">
        <v>60000</v>
      </c>
      <c r="AL1094" s="37">
        <v>70000</v>
      </c>
    </row>
    <row r="1095" spans="1:39">
      <c r="A1095" s="36" t="s">
        <v>135</v>
      </c>
      <c r="B1095" s="419"/>
      <c r="C1095" s="39">
        <v>97240.65</v>
      </c>
      <c r="D1095" s="39">
        <v>9365.85</v>
      </c>
      <c r="E1095" s="39">
        <v>10921782.4</v>
      </c>
      <c r="F1095" s="39">
        <v>9842.7000000000007</v>
      </c>
      <c r="G1095" s="39">
        <v>194080.48</v>
      </c>
      <c r="H1095" s="39">
        <v>113577.52</v>
      </c>
      <c r="I1095" s="39">
        <v>115827.87</v>
      </c>
      <c r="J1095" s="39">
        <v>402317.24</v>
      </c>
      <c r="K1095" s="39">
        <v>119278.84</v>
      </c>
      <c r="L1095" s="39">
        <v>1265674.3600000001</v>
      </c>
      <c r="M1095" s="39">
        <v>1674280.85</v>
      </c>
      <c r="N1095" s="39">
        <v>24498.58</v>
      </c>
      <c r="O1095" s="39">
        <v>1240</v>
      </c>
      <c r="P1095" s="39">
        <v>620</v>
      </c>
      <c r="Q1095" s="39">
        <v>0</v>
      </c>
      <c r="R1095" s="39">
        <v>620</v>
      </c>
      <c r="S1095" s="39">
        <v>620</v>
      </c>
      <c r="T1095" s="39">
        <v>43103.45</v>
      </c>
      <c r="U1095" s="39">
        <v>1240</v>
      </c>
      <c r="V1095" s="39">
        <v>143745.01</v>
      </c>
      <c r="W1095" s="39">
        <v>0</v>
      </c>
      <c r="X1095" s="39">
        <v>56716.38</v>
      </c>
      <c r="Y1095" s="39">
        <v>0</v>
      </c>
      <c r="Z1095" s="39">
        <v>247928.78</v>
      </c>
      <c r="AA1095" s="39">
        <v>175193.96</v>
      </c>
      <c r="AB1095" s="39">
        <v>0</v>
      </c>
      <c r="AC1095" s="39">
        <v>4790</v>
      </c>
      <c r="AD1095" s="39">
        <v>52677.93</v>
      </c>
      <c r="AE1095" s="39">
        <v>52348.93</v>
      </c>
      <c r="AF1095" s="39">
        <v>25666.5</v>
      </c>
      <c r="AG1095" s="39">
        <v>52679.93</v>
      </c>
      <c r="AH1095" s="39">
        <v>101194.86</v>
      </c>
      <c r="AI1095" s="39">
        <v>151144.79</v>
      </c>
      <c r="AJ1095" s="39">
        <v>104842.07</v>
      </c>
      <c r="AK1095" s="39">
        <v>57715.93</v>
      </c>
      <c r="AL1095" s="39">
        <v>107810.86</v>
      </c>
    </row>
    <row r="1096" spans="1:39">
      <c r="A1096" s="36" t="s">
        <v>136</v>
      </c>
      <c r="B1096" s="419"/>
      <c r="C1096" s="39">
        <v>455808.91</v>
      </c>
      <c r="D1096" s="39">
        <v>765143</v>
      </c>
      <c r="E1096" s="39">
        <v>-562031.63</v>
      </c>
      <c r="F1096" s="39">
        <v>-175907.91</v>
      </c>
      <c r="G1096" s="39">
        <v>-304049.21999999997</v>
      </c>
      <c r="H1096" s="39">
        <v>-115129.03</v>
      </c>
      <c r="I1096" s="39">
        <v>223623.52</v>
      </c>
      <c r="J1096" s="39">
        <v>-209590.69</v>
      </c>
      <c r="K1096" s="39">
        <v>188567.67</v>
      </c>
      <c r="L1096" s="39">
        <v>-1500813.94</v>
      </c>
      <c r="M1096" s="39">
        <v>-299335.38</v>
      </c>
      <c r="N1096" s="39">
        <v>117740.82</v>
      </c>
      <c r="O1096" s="39">
        <v>692837.88</v>
      </c>
      <c r="P1096" s="39">
        <v>57380</v>
      </c>
      <c r="Q1096" s="39">
        <v>34800</v>
      </c>
      <c r="R1096" s="39">
        <v>121180</v>
      </c>
      <c r="S1096" s="39">
        <v>-620</v>
      </c>
      <c r="T1096" s="39">
        <v>561900</v>
      </c>
      <c r="U1096" s="39">
        <v>-93685.71</v>
      </c>
      <c r="V1096" s="39">
        <v>-74198.5</v>
      </c>
      <c r="W1096" s="39">
        <v>0</v>
      </c>
      <c r="X1096" s="39">
        <v>-65543.97</v>
      </c>
      <c r="Y1096" s="39">
        <v>0</v>
      </c>
      <c r="Z1096" s="39">
        <v>-267583.96999999997</v>
      </c>
      <c r="AA1096" s="39">
        <v>-194849.14</v>
      </c>
      <c r="AB1096" s="39">
        <v>0</v>
      </c>
      <c r="AC1096" s="39">
        <v>-4790</v>
      </c>
      <c r="AD1096" s="39">
        <v>-58040</v>
      </c>
      <c r="AE1096" s="39">
        <v>-69066</v>
      </c>
      <c r="AF1096" s="39">
        <v>-522.5</v>
      </c>
      <c r="AG1096" s="39">
        <v>-49662.93</v>
      </c>
      <c r="AH1096" s="39">
        <v>-98275.86</v>
      </c>
      <c r="AI1096" s="39">
        <v>-162835.79999999999</v>
      </c>
      <c r="AJ1096" s="39">
        <v>-31262.07</v>
      </c>
      <c r="AK1096" s="39">
        <v>-49137.93</v>
      </c>
      <c r="AL1096" s="39">
        <v>-83877.86</v>
      </c>
    </row>
    <row r="1097" spans="1:39">
      <c r="A1097" s="36" t="s">
        <v>137</v>
      </c>
      <c r="B1097" s="419"/>
      <c r="C1097" s="39">
        <v>0</v>
      </c>
      <c r="D1097" s="39">
        <v>0</v>
      </c>
      <c r="E1097" s="39">
        <v>0</v>
      </c>
      <c r="F1097" s="39">
        <v>0</v>
      </c>
      <c r="G1097" s="39">
        <v>0</v>
      </c>
      <c r="H1097" s="39">
        <v>316680</v>
      </c>
      <c r="I1097" s="39">
        <v>0</v>
      </c>
      <c r="J1097" s="39">
        <v>0</v>
      </c>
      <c r="K1097" s="39">
        <v>0</v>
      </c>
      <c r="L1097" s="39">
        <v>0</v>
      </c>
      <c r="M1097" s="39">
        <v>0</v>
      </c>
      <c r="N1097" s="39">
        <v>0</v>
      </c>
      <c r="O1097" s="39">
        <v>0</v>
      </c>
      <c r="P1097" s="39">
        <v>0</v>
      </c>
      <c r="Q1097" s="39">
        <v>0</v>
      </c>
      <c r="R1097" s="39">
        <v>0</v>
      </c>
      <c r="S1097" s="39">
        <v>0</v>
      </c>
      <c r="T1097" s="39">
        <v>0</v>
      </c>
      <c r="U1097" s="39">
        <v>0</v>
      </c>
      <c r="V1097" s="39">
        <v>0</v>
      </c>
      <c r="W1097" s="39">
        <v>0</v>
      </c>
      <c r="X1097" s="39">
        <v>0</v>
      </c>
      <c r="Y1097" s="39">
        <v>0</v>
      </c>
      <c r="Z1097" s="39">
        <v>0</v>
      </c>
      <c r="AA1097" s="39">
        <v>0</v>
      </c>
      <c r="AB1097" s="39">
        <v>0</v>
      </c>
      <c r="AC1097" s="39">
        <v>0</v>
      </c>
      <c r="AD1097" s="39">
        <v>0</v>
      </c>
      <c r="AE1097" s="39">
        <v>0</v>
      </c>
      <c r="AF1097" s="39">
        <v>0</v>
      </c>
      <c r="AG1097" s="39">
        <v>0</v>
      </c>
      <c r="AH1097" s="39">
        <v>0</v>
      </c>
      <c r="AI1097" s="39">
        <v>0</v>
      </c>
      <c r="AJ1097" s="39">
        <v>0</v>
      </c>
      <c r="AK1097" s="39">
        <v>0</v>
      </c>
      <c r="AL1097" s="39">
        <v>0</v>
      </c>
    </row>
    <row r="1098" spans="1:39" ht="14.65" thickBot="1">
      <c r="A1098" s="44" t="s">
        <v>138</v>
      </c>
      <c r="B1098" s="420"/>
      <c r="C1098" s="45">
        <v>12863.23</v>
      </c>
      <c r="D1098" s="45">
        <v>0</v>
      </c>
      <c r="E1098" s="45">
        <v>10111187.710000001</v>
      </c>
      <c r="F1098" s="45">
        <v>0</v>
      </c>
      <c r="G1098" s="45">
        <v>0</v>
      </c>
      <c r="H1098" s="45">
        <v>0</v>
      </c>
      <c r="I1098" s="45">
        <v>0</v>
      </c>
      <c r="J1098" s="45">
        <v>0</v>
      </c>
      <c r="K1098" s="45">
        <v>0</v>
      </c>
      <c r="L1098" s="45">
        <v>0</v>
      </c>
      <c r="M1098" s="45">
        <v>0</v>
      </c>
      <c r="N1098" s="45">
        <v>14209.18</v>
      </c>
      <c r="O1098" s="45">
        <v>0</v>
      </c>
      <c r="P1098" s="45">
        <v>0</v>
      </c>
      <c r="Q1098" s="45">
        <v>0</v>
      </c>
      <c r="R1098" s="45">
        <v>0</v>
      </c>
      <c r="S1098" s="45">
        <v>0</v>
      </c>
      <c r="T1098" s="45">
        <v>0</v>
      </c>
      <c r="U1098" s="45">
        <v>0</v>
      </c>
      <c r="V1098" s="45">
        <v>0</v>
      </c>
      <c r="W1098" s="45">
        <v>0</v>
      </c>
      <c r="X1098" s="45">
        <v>0</v>
      </c>
      <c r="Y1098" s="45">
        <v>0</v>
      </c>
      <c r="Z1098" s="45">
        <v>0</v>
      </c>
      <c r="AA1098" s="45">
        <v>0</v>
      </c>
      <c r="AB1098" s="45">
        <v>0</v>
      </c>
      <c r="AC1098" s="45">
        <v>0</v>
      </c>
      <c r="AD1098" s="45">
        <v>2900</v>
      </c>
      <c r="AE1098" s="45">
        <v>0</v>
      </c>
      <c r="AF1098" s="45">
        <v>0</v>
      </c>
      <c r="AG1098" s="45">
        <v>3017</v>
      </c>
      <c r="AH1098" s="45">
        <v>2919</v>
      </c>
      <c r="AI1098" s="45">
        <v>0</v>
      </c>
      <c r="AJ1098" s="45">
        <v>0</v>
      </c>
      <c r="AK1098" s="45">
        <v>0</v>
      </c>
      <c r="AL1098" s="45">
        <v>0</v>
      </c>
    </row>
    <row r="1099" spans="1:39" ht="14.65" thickBot="1"/>
    <row r="1100" spans="1:39">
      <c r="A1100" s="47" t="s">
        <v>139</v>
      </c>
      <c r="B1100" s="48" t="s">
        <v>140</v>
      </c>
      <c r="C1100" t="s">
        <v>141</v>
      </c>
      <c r="E1100" s="455" t="s">
        <v>142</v>
      </c>
      <c r="F1100" s="455"/>
      <c r="I1100" s="414" t="s">
        <v>143</v>
      </c>
      <c r="J1100" s="414"/>
      <c r="M1100" s="415" t="s">
        <v>144</v>
      </c>
      <c r="N1100" s="415"/>
    </row>
    <row r="1101" spans="1:39">
      <c r="A1101" s="24" t="s">
        <v>145</v>
      </c>
      <c r="B1101" s="72">
        <v>0.35</v>
      </c>
      <c r="C1101" s="217">
        <f>+B1101*F1105</f>
        <v>-6.3</v>
      </c>
      <c r="E1101" s="49" t="s">
        <v>146</v>
      </c>
      <c r="F1101" s="23">
        <f>IF(B1157&gt;=(B1158*1.5),100,IF(B1157&gt;=(B1158*1.3),80,IF(B1157&gt;=(B1158*1),50,IF(B1157&gt;=(B1158*0.75),30,IF(B1157&gt;=(B1158*0.5),15,IF(B1157&gt;=(B1158*0.25),10,IF(B1157&gt;=(B1158*0.1),0,-30)))))))</f>
        <v>-30</v>
      </c>
      <c r="G1101" s="7"/>
      <c r="I1101" s="49" t="s">
        <v>147</v>
      </c>
      <c r="J1101">
        <f>IF(B1142&lt;0.02,100,IF(B1142&lt;0.05,70,IF(B1142&lt;0.1,40,0)))</f>
        <v>0</v>
      </c>
      <c r="M1101" s="49" t="s">
        <v>148</v>
      </c>
      <c r="N1101">
        <f>IF(B1135&gt;=36,100,
IF(B1135&gt;=24,80,
IF(B1135&gt;=12,60,40)))</f>
        <v>100</v>
      </c>
    </row>
    <row r="1102" spans="1:39">
      <c r="A1102" s="24" t="s">
        <v>61</v>
      </c>
      <c r="B1102" s="72">
        <v>0.25</v>
      </c>
      <c r="C1102" s="217">
        <f>+B1102*N1108</f>
        <v>10.125</v>
      </c>
      <c r="E1102" s="49" t="s">
        <v>149</v>
      </c>
      <c r="F1102">
        <f>IF(B1124&gt;0.3,100,IF(B1124&gt;0.2,80,IF(B1124&gt;0.15,60,IF(B1124&gt;0.1,40,IF(B1124&gt;0.05,20,IF(B1124&gt;0,0,-20))))))</f>
        <v>-20</v>
      </c>
      <c r="G1102" s="7"/>
      <c r="I1102" s="49" t="s">
        <v>150</v>
      </c>
      <c r="J1102">
        <f>IF(B1136=1,-100,100)</f>
        <v>100</v>
      </c>
      <c r="M1102" s="49" t="s">
        <v>151</v>
      </c>
      <c r="N1102">
        <f>IF(B1134&gt;=24,100,
IF(B1134&gt;=12,80,
IF(B1134&gt;=6,60,40)))</f>
        <v>100</v>
      </c>
    </row>
    <row r="1103" spans="1:39" ht="14.65" thickBot="1">
      <c r="A1103" s="24" t="s">
        <v>152</v>
      </c>
      <c r="B1103" s="72">
        <v>7.4999999999999997E-2</v>
      </c>
      <c r="C1103" s="217">
        <f>+B1103*J1104</f>
        <v>5</v>
      </c>
      <c r="E1103" s="49" t="s">
        <v>153</v>
      </c>
      <c r="F1103">
        <f>IF(B1127&lt;0.1,100,IF(B1127&lt;0.2,70,IF(B1127&lt;0.3,50,IF(B1127&lt;0.4,30,IF(B1127&lt;0.5,20,IF(B1127&gt;0.5,0,))))))</f>
        <v>0</v>
      </c>
      <c r="G1103" s="7"/>
      <c r="I1103" s="49" t="s">
        <v>154</v>
      </c>
      <c r="J1103">
        <f>IF(B1146="NO FACHADA",100,-50)</f>
        <v>100</v>
      </c>
      <c r="M1103" s="49" t="s">
        <v>155</v>
      </c>
      <c r="N1103">
        <f>IF(B1131&gt;0.2,100,
IF(B1131&gt;0.1,80,
IF(B1131&gt;0,40,IF(B1131&gt;-0.05,0,-40))))</f>
        <v>80</v>
      </c>
    </row>
    <row r="1104" spans="1:39" ht="15" thickTop="1" thickBot="1">
      <c r="A1104" s="24" t="s">
        <v>156</v>
      </c>
      <c r="B1104" s="72">
        <v>7.4999999999999997E-2</v>
      </c>
      <c r="C1104" s="217">
        <f>+B1104*J1110</f>
        <v>1.7499999999999998</v>
      </c>
      <c r="E1104" s="49" t="str">
        <f>+A1160</f>
        <v>Activo VS ventas anuales</v>
      </c>
      <c r="F1104">
        <f>IF(B1160&lt;0.1,100,
IF(B1160&lt;0.2,80,
IF(B1160&lt;0.3,40,IF(B1160&lt;0.5,20,IF(B1160&lt;0.7,0,-40)))))</f>
        <v>0</v>
      </c>
      <c r="G1104" s="7"/>
      <c r="J1104" s="215">
        <f>AVERAGE(J1101,J1102,J1103)</f>
        <v>66.666666666666671</v>
      </c>
      <c r="M1104" s="49" t="s">
        <v>402</v>
      </c>
      <c r="N1104" s="441">
        <f>+D1132</f>
        <v>-20</v>
      </c>
    </row>
    <row r="1105" spans="1:14" ht="15" thickTop="1" thickBot="1">
      <c r="A1105" s="50" t="s">
        <v>158</v>
      </c>
      <c r="B1105" s="368">
        <v>0.25</v>
      </c>
      <c r="C1105" s="217">
        <f>+B1105*F1110</f>
        <v>9.6499999999999986</v>
      </c>
      <c r="D1105" s="217">
        <f>+B1105*G1110</f>
        <v>-5</v>
      </c>
      <c r="F1105" s="215">
        <f>F1101*0.4 + F1102*0.3 + F1103*0.15+F1104*0.15</f>
        <v>-18</v>
      </c>
      <c r="G1105" s="7"/>
      <c r="M1105" s="49" t="s">
        <v>157</v>
      </c>
      <c r="N1105">
        <f>IF(B1120&lt;30,100,IF(B1120&lt;45,90,IF(B1120&lt;60,75,IF(B1120&lt;75,60,IF(B1120&lt;90,40,20)))))</f>
        <v>100</v>
      </c>
    </row>
    <row r="1106" spans="1:14" ht="16.149999999999999" thickBot="1">
      <c r="A1106" s="377" t="s">
        <v>360</v>
      </c>
      <c r="B1106" s="378">
        <f>+(C1101+C1102+C1103+C1104+C1105)*10</f>
        <v>202.24999999999997</v>
      </c>
      <c r="I1106" s="416" t="s">
        <v>160</v>
      </c>
      <c r="J1106" s="416"/>
      <c r="M1106" s="49" t="s">
        <v>159</v>
      </c>
      <c r="N1106">
        <f>IF(AND(B1121&gt;=30,B1121&lt;=60),100,IF(OR(AND(B1121&gt;=15,B1121&lt;30),AND(B1121&gt;60,B1121&lt;=75)),70,20))</f>
        <v>70</v>
      </c>
    </row>
    <row r="1107" spans="1:14" ht="16.149999999999999" thickBot="1">
      <c r="A1107" s="44" t="s">
        <v>361</v>
      </c>
      <c r="B1107" s="379">
        <f>+(C1101+C1102+C1103+C1104+D1105)*10</f>
        <v>55.749999999999993</v>
      </c>
      <c r="C1107" s="384" t="str">
        <f>IF(B1107&gt;=850,"Excelente Candidato",
IF(B1107&gt;=700,"Aprobación",
IF(B1107&gt;=550,"Aprobar con Aval",
IF(B1107&gt;=500,"Revisar con Obligado",IF(B1107&gt;=400,"Solicitar Aval * Depósitos","Sugerenica Rechazo")))))</f>
        <v>Sugerenica Rechazo</v>
      </c>
      <c r="E1107" s="417" t="s">
        <v>161</v>
      </c>
      <c r="F1107" s="417"/>
      <c r="G1107" s="23" t="s">
        <v>162</v>
      </c>
      <c r="I1107" s="49" t="s">
        <v>163</v>
      </c>
      <c r="J1107">
        <f>IF(B1138&lt;1500,100,IF(B1138&lt;2000,50,IF(B1138&lt;2500,25,IF(B1138&lt;3500,0,IF(B1138&gt;=3500,-30,)))))</f>
        <v>-30</v>
      </c>
      <c r="M1107" s="49" t="str">
        <f>+A1126</f>
        <v>Coeficiente Variacion Flujo</v>
      </c>
      <c r="N1107">
        <f>IF(B1116&lt;0,IF(B1126&gt;2,-30,0),IF(B1126&lt;1,100,IF(B1126&lt;2,70,IF(B1126&lt;3,40,IF(B1126&lt;4,30,IF(B1126&lt;5,0,-30))))))</f>
        <v>-30</v>
      </c>
    </row>
    <row r="1108" spans="1:14" ht="15" thickTop="1" thickBot="1">
      <c r="A1108" s="8" t="s">
        <v>164</v>
      </c>
      <c r="B1108" s="383" t="str">
        <f>IF(B1107&gt;=850,"Muy poco riesgo",
IF(B1107&gt;=700,"Riesgo Bajo",
IF(B1107&gt;=600,"Riesgo aceptable",
IF(B1107&gt;=500,"Riesgo Medio",IF(B1107&gt;=400,"Riesgo Alto","Riesgo muy Alto")))))</f>
        <v>Riesgo muy Alto</v>
      </c>
      <c r="C1108" s="318" t="str">
        <f>+IF(B1137="RECHAZAR","RECHAZAR",IF(B1143="ALERTA","ALERTA","NO en listas negras"))</f>
        <v>ALERTA</v>
      </c>
      <c r="E1108" s="49" t="s">
        <v>165</v>
      </c>
      <c r="F1108">
        <f>IF(B1144&gt;=330,100,IF(B1144&gt;=300,80,IF(B1144&gt;=270,72,IF(B1144&gt;=240,68,IF(B1144&gt;=220,64,IF(B1144&gt;=200,40,IF(B1144&gt;=180,10,IF(B1144="",30,0))))))))</f>
        <v>68</v>
      </c>
      <c r="G1108" s="2" t="s">
        <v>166</v>
      </c>
      <c r="I1108" s="442" t="s">
        <v>403</v>
      </c>
      <c r="J1108" s="23">
        <f>IF(B1140&lt;0.025,100,IF(B1140&lt;0.05,80,IF(B1140&lt;0.075,50,IF(B1140&lt;0.1,0,IF(B1140&lt;0.15,-20,IF(B1140&gt;0.25,-30,-40))))))</f>
        <v>0</v>
      </c>
      <c r="N1108" s="357">
        <f>(N1101*0.025)+(N1102*0.025)+(N1103*0.3)+(N1104*0.15)+(N1105*0.15)+(N1106*0.1)+(N1107*0.25)</f>
        <v>40.5</v>
      </c>
    </row>
    <row r="1109" spans="1:14" ht="15" thickTop="1" thickBot="1">
      <c r="A1109" s="8" t="s">
        <v>136</v>
      </c>
      <c r="B1109" s="319" t="str">
        <f>+C1159</f>
        <v>Negativo</v>
      </c>
      <c r="C1109" s="320" t="str">
        <f>+B1146</f>
        <v>NO FACHADA</v>
      </c>
      <c r="E1109" s="8" t="str">
        <f>+A1122</f>
        <v>CxP / Flujo Operativo</v>
      </c>
      <c r="F1109" s="23">
        <f>IF(B1122&lt;=0, -30, IF(B1122&lt;1, 100, IF(B1122&lt;2, 70, IF(B1122&lt;3, 40, IF(B1122&lt;5, 30, 0)))))</f>
        <v>-30</v>
      </c>
      <c r="G1109" s="385">
        <f>IF(B1116&lt;0, -20, IF(B1122&lt;1, 100, IF(B1122&lt;2, 70, IF(B1122&lt;3, 40, IF(B1122&lt;5, 30, 0)))))</f>
        <v>-20</v>
      </c>
      <c r="I1109" s="49" t="s">
        <v>168</v>
      </c>
      <c r="J1109">
        <f>IF(B1141&lt;0.05,100,
IF(B1141&lt;0.1,80,IF(B1141&lt;0.2,50,IF(B1141&lt;0.4,0,-40))))</f>
        <v>100</v>
      </c>
      <c r="L1109" t="s">
        <v>169</v>
      </c>
    </row>
    <row r="1110" spans="1:14" ht="15" thickTop="1" thickBot="1">
      <c r="A1110" s="8" t="s">
        <v>156</v>
      </c>
      <c r="B1110" s="321" t="str">
        <f>+B1139</f>
        <v>ALERTA CONCENTRACION</v>
      </c>
      <c r="C1110" s="322" t="str">
        <f>+C1156</f>
        <v>Flujo Insuficiente</v>
      </c>
      <c r="F1110" s="214">
        <f>(F1108*0.7)+(F1109*0.3)</f>
        <v>38.599999999999994</v>
      </c>
      <c r="G1110" s="214">
        <f>(G1109*1)</f>
        <v>-20</v>
      </c>
      <c r="J1110" s="215">
        <f>AVERAGE(J1107,J1108,J1109)</f>
        <v>23.333333333333332</v>
      </c>
      <c r="L1110" t="s">
        <v>102</v>
      </c>
      <c r="M1110" t="s">
        <v>103</v>
      </c>
    </row>
    <row r="1111" spans="1:14">
      <c r="L1111" t="s">
        <v>150</v>
      </c>
      <c r="M1111" t="s">
        <v>170</v>
      </c>
    </row>
    <row r="1112" spans="1:14" ht="21.4" thickBot="1">
      <c r="A1112" s="51" t="s">
        <v>171</v>
      </c>
      <c r="B1112" s="52" t="s">
        <v>172</v>
      </c>
      <c r="D1112" s="53"/>
      <c r="L1112" t="s">
        <v>173</v>
      </c>
      <c r="M1112" t="s">
        <v>170</v>
      </c>
    </row>
    <row r="1113" spans="1:14" ht="14.65" thickBot="1">
      <c r="A1113" s="55" t="s">
        <v>174</v>
      </c>
      <c r="B1113" s="56" t="s">
        <v>175</v>
      </c>
      <c r="C1113" s="56" t="s">
        <v>176</v>
      </c>
      <c r="D1113" s="56" t="s">
        <v>177</v>
      </c>
      <c r="E1113" s="56" t="s">
        <v>178</v>
      </c>
      <c r="L1113" t="s">
        <v>179</v>
      </c>
      <c r="M1113" t="s">
        <v>170</v>
      </c>
    </row>
    <row r="1114" spans="1:14">
      <c r="A1114" t="s">
        <v>180</v>
      </c>
      <c r="B1114" s="358">
        <f>AVERAGE(C1094:N1094)</f>
        <v>326843.7491666667</v>
      </c>
      <c r="C1114" s="359">
        <f>AVERAGE(C1094:AL1094)</f>
        <v>148971.33305555556</v>
      </c>
      <c r="D1114" s="2" t="str">
        <f>IF(B1114/B1115&gt;1.5,"Bien",IF(B1114/B1115&gt;1.3,"Ok",IF(B1114/B1115&gt;1.2,"Revisar",IF(B1114/B1115&gt;1.15,"Muy Bajo","Alerta"))))</f>
        <v>Alerta</v>
      </c>
      <c r="E1114" s="57" t="s">
        <v>181</v>
      </c>
      <c r="L1114" t="s">
        <v>182</v>
      </c>
      <c r="M1114" t="s">
        <v>183</v>
      </c>
    </row>
    <row r="1115" spans="1:14">
      <c r="A1115" t="s">
        <v>184</v>
      </c>
      <c r="B1115" s="358">
        <f>AVERAGE(C1095:N1095)</f>
        <v>1245647.2783333331</v>
      </c>
      <c r="C1115" s="359">
        <f>AVERAGE(C1095:AL1095)</f>
        <v>453601.85333333322</v>
      </c>
      <c r="D1115" s="53" t="str">
        <f>IF(B1115/B1114&lt;0.6,"Bien",IF(B1115/B1114&lt;0.76,"Ok",IF(B1115/B1114&lt;0.8,"Revisar",IF(B1115/B1114&lt;0.89,"Riesgo","Alerta"))))</f>
        <v>Alerta</v>
      </c>
      <c r="E1115" s="57" t="s">
        <v>185</v>
      </c>
      <c r="L1115" t="s">
        <v>186</v>
      </c>
      <c r="M1115" t="s">
        <v>183</v>
      </c>
    </row>
    <row r="1116" spans="1:14">
      <c r="A1116" t="s">
        <v>187</v>
      </c>
      <c r="B1116" s="358">
        <f>AVERAGE(C1096:N1096)</f>
        <v>-117997.82333333335</v>
      </c>
      <c r="C1116" s="359">
        <f>AVERAGE(C1096:AL1096)</f>
        <v>-34773.006666666675</v>
      </c>
      <c r="D1116" s="53" t="str">
        <f>IF(B1116/B1155&gt;2,"Bien",IF(B1116/B1155&gt;1.5,"Ok",IF(B1116/B1155&gt;1.2,"Revisión","Alerta")))</f>
        <v>Alerta</v>
      </c>
      <c r="E1116" s="57" t="s">
        <v>188</v>
      </c>
    </row>
    <row r="1117" spans="1:14">
      <c r="A1117" t="s">
        <v>189</v>
      </c>
      <c r="B1117" s="359">
        <f>B1116*IF(B1116&gt;=0, B1165, 1+(1-B1165))</f>
        <v>-153397.17033333337</v>
      </c>
      <c r="C1117" s="359">
        <f>C1116*IF(C1116&gt;=0, B1165, 1+(1-B1165))</f>
        <v>-45204.908666666677</v>
      </c>
      <c r="D1117" s="2" t="str">
        <f>IF(B1117/B1155&gt;2,"Bien",IF(B1117/B1155&gt;1.5,"Ok",IF(B1117/B1155&gt;1.2,"Revisión","Alerta")))</f>
        <v>Alerta</v>
      </c>
      <c r="E1117" s="57" t="s">
        <v>190</v>
      </c>
    </row>
    <row r="1118" spans="1:14">
      <c r="A1118" t="s">
        <v>191</v>
      </c>
      <c r="B1118" s="358">
        <f>AVERAGE(C1097:N1097)</f>
        <v>26390</v>
      </c>
      <c r="C1118" s="359">
        <f>AVERAGE(C1097:AL1097)</f>
        <v>8796.6666666666661</v>
      </c>
      <c r="E1118" s="9" t="s">
        <v>192</v>
      </c>
    </row>
    <row r="1119" spans="1:14">
      <c r="A1119" t="s">
        <v>193</v>
      </c>
      <c r="B1119" s="358">
        <f>AVERAGE(C1098:N1098)</f>
        <v>844855.01000000013</v>
      </c>
      <c r="C1119" s="359">
        <f>AVERAGE(C1098:AL1098)</f>
        <v>281863.78111111117</v>
      </c>
      <c r="E1119" s="9" t="s">
        <v>194</v>
      </c>
    </row>
    <row r="1120" spans="1:14">
      <c r="A1120" t="s">
        <v>195</v>
      </c>
      <c r="B1120" s="360">
        <f>+(B1118/B1114)*30</f>
        <v>2.4222583482735969</v>
      </c>
      <c r="C1120" s="360">
        <f>+(C1118/C1114)*30</f>
        <v>1.7714817648948897</v>
      </c>
      <c r="D1120" s="10" t="str">
        <f>+IF(B1120&gt;B1121,"Financia a Proveedores", "Proveedores la Financian")</f>
        <v>Proveedores la Financian</v>
      </c>
      <c r="E1120" s="9" t="s">
        <v>196</v>
      </c>
    </row>
    <row r="1121" spans="1:9">
      <c r="A1121" t="s">
        <v>197</v>
      </c>
      <c r="B1121" s="360">
        <f>+(B1119/B1115)*30</f>
        <v>20.347373402454902</v>
      </c>
      <c r="C1121" s="360">
        <f>+(C1119/C1115)*30</f>
        <v>18.64170829813483</v>
      </c>
      <c r="D1121" s="10" t="str">
        <f>+IF(B1121&gt;B1120,"Proveedores la Financian","Financia a Proveedores")</f>
        <v>Proveedores la Financian</v>
      </c>
      <c r="E1121" s="9" t="s">
        <v>196</v>
      </c>
    </row>
    <row r="1122" spans="1:9">
      <c r="A1122" t="s">
        <v>198</v>
      </c>
      <c r="B1122" s="208">
        <f>+((B1119*4.5)/(B1116*12))</f>
        <v>-2.684970110465597</v>
      </c>
      <c r="C1122" s="208">
        <f>+(C1119*4.5)/(C1116*12)</f>
        <v>-3.0396830199325104</v>
      </c>
      <c r="D1122" s="59" t="str">
        <f>IF(B1122&lt;=0,"ALERTA",(B1119*4.5)/(B1116*12))</f>
        <v>ALERTA</v>
      </c>
      <c r="E1122" s="57" t="s">
        <v>346</v>
      </c>
      <c r="I1122" t="s">
        <v>199</v>
      </c>
    </row>
    <row r="1123" spans="1:9">
      <c r="A1123" t="s">
        <v>200</v>
      </c>
      <c r="B1123" s="427"/>
      <c r="C1123" s="360"/>
      <c r="E1123" t="s">
        <v>201</v>
      </c>
    </row>
    <row r="1124" spans="1:9">
      <c r="A1124" t="s">
        <v>202</v>
      </c>
      <c r="B1124" s="60">
        <f>(B1116/B1114)</f>
        <v>-0.36102212030728781</v>
      </c>
      <c r="C1124" s="60">
        <f>(C1116/C1114)</f>
        <v>-0.2334207928024572</v>
      </c>
      <c r="D1124" s="2" t="str">
        <f>IF(B1124&lt;=0,"ALERTA",(B1121*4.5)/(B1118*12))</f>
        <v>ALERTA</v>
      </c>
      <c r="E1124" s="57" t="s">
        <v>203</v>
      </c>
    </row>
    <row r="1125" spans="1:9">
      <c r="A1125" t="s">
        <v>362</v>
      </c>
      <c r="B1125" s="381">
        <f>_xlfn.STDEV.P(C1096:N1096)</f>
        <v>544980.73818510189</v>
      </c>
      <c r="C1125" s="381">
        <f>_xlfn.STDEV.P(C1096:AL1096)</f>
        <v>360860.07067159581</v>
      </c>
      <c r="E1125" s="57" t="s">
        <v>204</v>
      </c>
    </row>
    <row r="1126" spans="1:9">
      <c r="A1126" t="s">
        <v>205</v>
      </c>
      <c r="B1126" s="382">
        <f>ABS(B1125/B1116)</f>
        <v>4.6185660276595089</v>
      </c>
      <c r="C1126" s="366">
        <f>C1125/C1116</f>
        <v>-10.377591852519197</v>
      </c>
      <c r="D1126" s="57"/>
      <c r="E1126" s="57" t="s">
        <v>370</v>
      </c>
    </row>
    <row r="1127" spans="1:9">
      <c r="A1127" t="s">
        <v>371</v>
      </c>
      <c r="B1127" s="60">
        <f>(B1125/B1114)</f>
        <v>1.6674045000848434</v>
      </c>
      <c r="C1127" s="60">
        <f>+(C1125/C1114)</f>
        <v>2.4223457175953511</v>
      </c>
      <c r="D1127" s="2" t="str">
        <f>+IF(B1127&lt;20%,"Estables",IF(B1127&lt;40%,"Normal",IF(B1127&gt;40%,"Volatil")))</f>
        <v>Volatil</v>
      </c>
      <c r="E1127" s="57" t="s">
        <v>207</v>
      </c>
    </row>
    <row r="1128" spans="1:9">
      <c r="A1128" t="s">
        <v>208</v>
      </c>
      <c r="B1128" s="361">
        <f>COUNTIF(E1094:P1094,"&gt;0")</f>
        <v>11</v>
      </c>
      <c r="C1128" s="362">
        <f>COUNTIF(E1094:AN1094,"&gt;0")</f>
        <v>17</v>
      </c>
      <c r="E1128" s="57" t="s">
        <v>209</v>
      </c>
    </row>
    <row r="1129" spans="1:9">
      <c r="A1129" t="s">
        <v>210</v>
      </c>
      <c r="B1129" s="363">
        <f>B1128/12</f>
        <v>0.91666666666666663</v>
      </c>
      <c r="C1129" s="363">
        <f>C1128/36</f>
        <v>0.47222222222222221</v>
      </c>
      <c r="D1129" s="2" t="str">
        <f>+IF(B1129&gt;90%,"Estable",IF(B1129&gt;50%,"Intermitente",IF(B1129&lt;50%,"Riesgoso")))</f>
        <v>Estable</v>
      </c>
      <c r="E1129" s="57" t="s">
        <v>211</v>
      </c>
    </row>
    <row r="1130" spans="1:9">
      <c r="A1130" s="203"/>
      <c r="B1130" s="204"/>
      <c r="C1130" s="204"/>
      <c r="D1130" s="205"/>
      <c r="E1130" s="206"/>
    </row>
    <row r="1131" spans="1:9">
      <c r="A1131" t="s">
        <v>212</v>
      </c>
      <c r="B1131" s="60">
        <f>AVERAGE(C1094:H1094)/AVERAGE(I1094:N1094)-1</f>
        <v>0.14114141670456148</v>
      </c>
      <c r="C1131" s="60">
        <f>AVERAGE(C1094:T1094)/AVERAGE(U1094:AL1094)-1</f>
        <v>4.5735294535835944</v>
      </c>
      <c r="D1131" s="59" t="str">
        <f>+IF(B1131&gt;15%,"Bueno",IF(B1131&gt;5%,"Estable",IF(B1131&gt;1%,"Bajo",IF(B1131&gt;-10%,"Alerta","Deterioro"))))</f>
        <v>Estable</v>
      </c>
      <c r="E1131" s="9" t="s">
        <v>213</v>
      </c>
    </row>
    <row r="1132" spans="1:9" ht="14.65" thickBot="1">
      <c r="A1132" s="23" t="s">
        <v>401</v>
      </c>
      <c r="B1132" s="439">
        <f>AVERAGE(C1095:H1095)/AVERAGE(I1095:N1095)-1</f>
        <v>2.1499929811609872</v>
      </c>
      <c r="C1132" s="439">
        <f>AVERAGE(C1095:T1095)/AVERAGE(U1095:AL1095)-1</f>
        <v>10.225586941782472</v>
      </c>
      <c r="D1132" s="440">
        <f>IF(B1132&gt;B1131,-20,IF(B1132&lt;0,100,IF(B1132&lt;=B1131*0.5,80,IF(B1132&lt;=B1131,60,30))))</f>
        <v>-20</v>
      </c>
    </row>
    <row r="1133" spans="1:9" ht="14.65" thickBot="1">
      <c r="A1133" s="55" t="s">
        <v>214</v>
      </c>
      <c r="B1133" s="61" t="s">
        <v>215</v>
      </c>
      <c r="C1133" s="56" t="s">
        <v>178</v>
      </c>
      <c r="D1133" s="411"/>
    </row>
    <row r="1134" spans="1:9">
      <c r="A1134" s="16" t="s">
        <v>216</v>
      </c>
      <c r="B1134" s="62">
        <v>36</v>
      </c>
      <c r="C1134" s="1" t="s">
        <v>217</v>
      </c>
    </row>
    <row r="1135" spans="1:9">
      <c r="A1135" s="3" t="s">
        <v>218</v>
      </c>
      <c r="B1135" s="25">
        <v>36</v>
      </c>
      <c r="C1135" s="1" t="s">
        <v>219</v>
      </c>
    </row>
    <row r="1136" spans="1:9">
      <c r="A1136" s="3" t="s">
        <v>220</v>
      </c>
      <c r="B1136" s="25">
        <v>0</v>
      </c>
      <c r="C1136" s="1" t="s">
        <v>221</v>
      </c>
    </row>
    <row r="1137" spans="1:9">
      <c r="A1137" s="3" t="s">
        <v>222</v>
      </c>
      <c r="B1137" s="4" t="str">
        <f>IF(B1136=1,"RECHAZAR","NO")</f>
        <v>NO</v>
      </c>
      <c r="C1137" s="1" t="s">
        <v>223</v>
      </c>
    </row>
    <row r="1138" spans="1:9">
      <c r="A1138" s="3" t="s">
        <v>224</v>
      </c>
      <c r="B1138" s="65">
        <v>6022</v>
      </c>
      <c r="C1138" s="1" t="s">
        <v>225</v>
      </c>
    </row>
    <row r="1139" spans="1:9">
      <c r="A1139" s="3" t="s">
        <v>226</v>
      </c>
      <c r="B1139" s="323" t="str">
        <f>IF(B1138&gt;1500,"ALERTA CONCENTRACION","OK")</f>
        <v>ALERTA CONCENTRACION</v>
      </c>
      <c r="C1139" s="1" t="s">
        <v>227</v>
      </c>
    </row>
    <row r="1140" spans="1:9">
      <c r="A1140" s="443" t="s">
        <v>403</v>
      </c>
      <c r="B1140" s="66">
        <v>0.08</v>
      </c>
      <c r="C1140" s="1" t="s">
        <v>229</v>
      </c>
    </row>
    <row r="1141" spans="1:9">
      <c r="A1141" s="3" t="s">
        <v>230</v>
      </c>
      <c r="B1141" s="66">
        <v>0</v>
      </c>
      <c r="C1141" s="1" t="s">
        <v>231</v>
      </c>
    </row>
    <row r="1142" spans="1:9">
      <c r="A1142" s="3" t="s">
        <v>232</v>
      </c>
      <c r="B1142" s="67">
        <v>0.31</v>
      </c>
      <c r="C1142" s="1" t="s">
        <v>233</v>
      </c>
    </row>
    <row r="1143" spans="1:9">
      <c r="A1143" s="3" t="s">
        <v>234</v>
      </c>
      <c r="B1143" s="68" t="str">
        <f>IF(B1142&gt;0.2,"ALERTA","OK")</f>
        <v>ALERTA</v>
      </c>
      <c r="C1143" s="1" t="s">
        <v>177</v>
      </c>
    </row>
    <row r="1144" spans="1:9">
      <c r="A1144" s="3" t="s">
        <v>235</v>
      </c>
      <c r="B1144" s="69">
        <v>261</v>
      </c>
      <c r="C1144" s="1" t="s">
        <v>372</v>
      </c>
      <c r="I1144" t="s">
        <v>373</v>
      </c>
    </row>
    <row r="1145" spans="1:9">
      <c r="A1145" s="3" t="s">
        <v>236</v>
      </c>
      <c r="B1145" s="68" t="str">
        <f>IF(B1144&gt;175,"NO",IF(B1144="","Sin Buró","RECHAZAR"))</f>
        <v>NO</v>
      </c>
      <c r="C1145" s="1" t="s">
        <v>177</v>
      </c>
    </row>
    <row r="1146" spans="1:9" ht="14.65" thickBot="1">
      <c r="A1146" s="6" t="s">
        <v>237</v>
      </c>
      <c r="B1146" s="380" t="str">
        <f>IF(AND(B1142&gt;0.1, B1131&gt;0.5, B1138&gt;3500),"Fachada RECHAZAR","NO FACHADA")</f>
        <v>NO FACHADA</v>
      </c>
      <c r="C1146" s="1" t="s">
        <v>238</v>
      </c>
    </row>
    <row r="1147" spans="1:9" ht="14.65" thickBot="1">
      <c r="A1147" s="3" t="s">
        <v>239</v>
      </c>
      <c r="B1147" s="69">
        <v>605</v>
      </c>
    </row>
    <row r="1148" spans="1:9" ht="14.65" thickBot="1">
      <c r="A1148" s="412" t="s">
        <v>240</v>
      </c>
      <c r="B1148" s="413"/>
      <c r="C1148" s="56" t="s">
        <v>177</v>
      </c>
      <c r="D1148" s="56" t="s">
        <v>178</v>
      </c>
    </row>
    <row r="1149" spans="1:9">
      <c r="A1149" s="16" t="s">
        <v>241</v>
      </c>
      <c r="B1149" s="70">
        <f>1899900+0+46324.97</f>
        <v>1946224.97</v>
      </c>
      <c r="D1149" s="1" t="s">
        <v>242</v>
      </c>
    </row>
    <row r="1150" spans="1:9">
      <c r="A1150" s="3" t="s">
        <v>243</v>
      </c>
      <c r="B1150" s="71">
        <v>135000</v>
      </c>
      <c r="D1150" s="1" t="s">
        <v>244</v>
      </c>
    </row>
    <row r="1151" spans="1:9">
      <c r="A1151" s="3" t="s">
        <v>245</v>
      </c>
      <c r="B1151" s="71">
        <v>409461.21</v>
      </c>
      <c r="D1151" s="1" t="s">
        <v>245</v>
      </c>
    </row>
    <row r="1152" spans="1:9">
      <c r="A1152" s="3" t="s">
        <v>246</v>
      </c>
      <c r="B1152" s="251">
        <f>B1149-B1150</f>
        <v>1811224.97</v>
      </c>
      <c r="D1152" s="1" t="s">
        <v>247</v>
      </c>
    </row>
    <row r="1153" spans="1:13">
      <c r="A1153" s="3" t="s">
        <v>248</v>
      </c>
      <c r="B1153" s="25">
        <v>48</v>
      </c>
    </row>
    <row r="1154" spans="1:13">
      <c r="A1154" s="3" t="s">
        <v>83</v>
      </c>
      <c r="B1154" s="72">
        <f>+IF(B1153&lt;24,30.2%,IF(B1153&lt;36,26%,IF(B1153&lt;48,24.55%,IF(B1153&lt;60,23.82%,"0%"))))</f>
        <v>0.2382</v>
      </c>
      <c r="D1154" s="73"/>
    </row>
    <row r="1155" spans="1:13">
      <c r="A1155" s="3" t="s">
        <v>249</v>
      </c>
      <c r="B1155" s="216">
        <f>+PMT(B1154/12,B1153,-B1152,B1151)</f>
        <v>53688.498556533013</v>
      </c>
      <c r="C1155" s="2" t="str">
        <f>IF(B1156/B1155&gt;2,"Bien",IF(B1156/B1155&gt;1.5,"Ok",IF(B1156/B1155&gt;1.2,"Alerta","Le falta Flujo")))</f>
        <v>Le falta Flujo</v>
      </c>
      <c r="D1155" s="1" t="s">
        <v>250</v>
      </c>
    </row>
    <row r="1156" spans="1:13">
      <c r="A1156" s="3" t="s">
        <v>189</v>
      </c>
      <c r="B1156" s="216">
        <f>B1117</f>
        <v>-153397.17033333337</v>
      </c>
      <c r="C1156" s="2" t="str">
        <f>IF(B1117/B1155&gt;2,"Buen Flujo",IF(B1117/B1155&gt;1.5,"Ok Flujo",IF(B1117/B1155&gt;1.1,"Flujo muy Justo","Flujo Insuficiente")))</f>
        <v>Flujo Insuficiente</v>
      </c>
      <c r="D1156" s="1" t="s">
        <v>251</v>
      </c>
    </row>
    <row r="1157" spans="1:13">
      <c r="A1157" s="3" t="s">
        <v>252</v>
      </c>
      <c r="B1157" s="364">
        <f>+(B1156/B1155)</f>
        <v>-2.857170054249309</v>
      </c>
      <c r="C1157" s="2" t="str">
        <f>+IF(B1157&gt;1.5,"Comodo",IF(B1157&gt;1.1,"Aceptable",IF(B1157&lt;1.1,"Rechazo")))</f>
        <v>Rechazo</v>
      </c>
      <c r="D1157" t="s">
        <v>374</v>
      </c>
    </row>
    <row r="1158" spans="1:13">
      <c r="A1158" s="3" t="s">
        <v>253</v>
      </c>
      <c r="B1158" s="289">
        <f>IF(B1153&lt;=24,$B$584,IF(B1153&lt;=36,$B$585,IF(B1153&lt;=48,$B$586,$B$587)))</f>
        <v>2.5</v>
      </c>
      <c r="D1158" t="s">
        <v>254</v>
      </c>
    </row>
    <row r="1159" spans="1:13">
      <c r="A1159" s="3" t="s">
        <v>255</v>
      </c>
      <c r="B1159" s="365"/>
      <c r="C1159" s="4" t="str">
        <f>IF(B1157&gt;B1158,"Suficiente",IF(B1157&lt;1,"Negativo","AVAL"))</f>
        <v>Negativo</v>
      </c>
      <c r="D1159" t="s">
        <v>256</v>
      </c>
    </row>
    <row r="1160" spans="1:13">
      <c r="A1160" s="3" t="s">
        <v>257</v>
      </c>
      <c r="B1160" s="72">
        <f>+B1149/SUM(D1094:O1094)</f>
        <v>0.50004174454839379</v>
      </c>
      <c r="C1160" s="2" t="str">
        <f>IF(B1160&lt;0.1,"Excelente",IF(B1160&lt;0.2,"Bien",IF(B1160&lt;0.3,"Ok",IF(B1160&lt;0.6,"Revisar",IF(B1160&lt;0.9,"Alerta","Sobrepasado")))))</f>
        <v>Revisar</v>
      </c>
      <c r="D1160" t="s">
        <v>375</v>
      </c>
    </row>
    <row r="1161" spans="1:13">
      <c r="A1161" s="3" t="s">
        <v>258</v>
      </c>
      <c r="B1161" s="216">
        <f>B1156/B1158</f>
        <v>-61358.868133333352</v>
      </c>
      <c r="C1161" s="74" t="str">
        <f>IF(B1161/B1155&gt;4,"Ok",IF(B1161/B1155&gt;2,"OK",IF((B1161/B1155)&gt;1.2,"Renta con Riesgo",IF(B1161/B1155&lt;1.1,"No Otorgar"))))</f>
        <v>No Otorgar</v>
      </c>
      <c r="D1161" t="s">
        <v>259</v>
      </c>
      <c r="G1161">
        <f>+B1161/B1155</f>
        <v>-1.1428680216997236</v>
      </c>
    </row>
    <row r="1162" spans="1:13" ht="14.65" thickBot="1">
      <c r="A1162" s="6" t="s">
        <v>260</v>
      </c>
      <c r="B1162" s="367">
        <f>IF(B1156&lt;0, 0, PV(B1154/12,B1153,-B1161))</f>
        <v>0</v>
      </c>
      <c r="C1162" s="2" t="str">
        <f>+IF(B1162/B1149&gt;1,"Otorgar",IF(B1162/B1149&gt;0.75,"Revision","No Otorgar"))</f>
        <v>No Otorgar</v>
      </c>
      <c r="D1162" t="s">
        <v>261</v>
      </c>
    </row>
    <row r="1163" spans="1:13" ht="14.65" thickBot="1"/>
    <row r="1164" spans="1:13">
      <c r="A1164" s="47" t="s">
        <v>262</v>
      </c>
      <c r="B1164" s="48" t="s">
        <v>263</v>
      </c>
    </row>
    <row r="1165" spans="1:13">
      <c r="A1165" s="24" t="s">
        <v>264</v>
      </c>
      <c r="B1165" s="25">
        <v>0.7</v>
      </c>
      <c r="M1165" t="s">
        <v>265</v>
      </c>
    </row>
    <row r="1166" spans="1:13">
      <c r="A1166" s="24" t="s">
        <v>80</v>
      </c>
      <c r="B1166" s="25">
        <v>3</v>
      </c>
      <c r="D1166" t="s">
        <v>254</v>
      </c>
    </row>
    <row r="1167" spans="1:13">
      <c r="A1167" s="24" t="s">
        <v>85</v>
      </c>
      <c r="B1167" s="25">
        <v>2.75</v>
      </c>
      <c r="D1167" t="s">
        <v>254</v>
      </c>
    </row>
    <row r="1168" spans="1:13">
      <c r="A1168" s="24" t="s">
        <v>87</v>
      </c>
      <c r="B1168" s="25">
        <v>2.5</v>
      </c>
      <c r="D1168" t="s">
        <v>254</v>
      </c>
    </row>
    <row r="1169" spans="1:39">
      <c r="A1169" s="24" t="s">
        <v>88</v>
      </c>
      <c r="B1169" s="25">
        <v>2.25</v>
      </c>
      <c r="D1169" t="s">
        <v>254</v>
      </c>
    </row>
    <row r="1170" spans="1:39">
      <c r="A1170" s="24" t="s">
        <v>266</v>
      </c>
      <c r="B1170" s="25">
        <v>6</v>
      </c>
      <c r="D1170" t="s">
        <v>267</v>
      </c>
    </row>
    <row r="1171" spans="1:39">
      <c r="A1171" s="24" t="s">
        <v>268</v>
      </c>
      <c r="B1171" s="25">
        <v>-10</v>
      </c>
      <c r="D1171" t="s">
        <v>269</v>
      </c>
    </row>
    <row r="1172" spans="1:39" ht="14.65" thickBot="1">
      <c r="A1172" s="50" t="s">
        <v>270</v>
      </c>
      <c r="B1172" s="75">
        <v>-30</v>
      </c>
      <c r="D1172" t="s">
        <v>271</v>
      </c>
    </row>
    <row r="1173" spans="1:39" ht="14.65" thickBot="1"/>
    <row r="1174" spans="1:39" ht="27" thickBot="1">
      <c r="A1174" s="453" t="s">
        <v>395</v>
      </c>
      <c r="B1174" s="454"/>
      <c r="C1174" s="454"/>
      <c r="D1174" s="454"/>
      <c r="E1174" s="454"/>
      <c r="F1174" s="388"/>
      <c r="G1174" s="388"/>
      <c r="H1174" s="389"/>
      <c r="I1174" s="386"/>
      <c r="J1174" s="386"/>
      <c r="K1174" s="386"/>
      <c r="L1174" s="386"/>
      <c r="M1174" s="386"/>
      <c r="N1174" s="386"/>
      <c r="O1174" s="386"/>
      <c r="P1174" s="386"/>
      <c r="Q1174" s="386"/>
      <c r="R1174" s="386"/>
      <c r="S1174" s="386"/>
      <c r="T1174" s="386"/>
      <c r="U1174" s="386"/>
      <c r="V1174" s="386"/>
      <c r="W1174" s="386"/>
      <c r="X1174" s="386"/>
      <c r="Y1174" s="386"/>
      <c r="Z1174" s="386"/>
      <c r="AA1174" s="386"/>
      <c r="AB1174" s="386"/>
      <c r="AC1174" s="386"/>
      <c r="AD1174" s="386"/>
      <c r="AE1174" s="386"/>
      <c r="AF1174" s="386"/>
      <c r="AG1174" s="386"/>
      <c r="AH1174" s="386"/>
      <c r="AI1174" s="386"/>
      <c r="AJ1174" s="386"/>
      <c r="AK1174" s="386"/>
      <c r="AL1174" s="390"/>
    </row>
    <row r="1175" spans="1:39" ht="14.65" thickBot="1">
      <c r="A1175" s="30" t="s">
        <v>131</v>
      </c>
      <c r="C1175" s="31">
        <v>46143</v>
      </c>
      <c r="D1175" s="31">
        <v>46113</v>
      </c>
      <c r="E1175" s="31">
        <v>46054</v>
      </c>
      <c r="F1175" s="31">
        <f>+E1175-1</f>
        <v>46053</v>
      </c>
      <c r="G1175" s="31">
        <f>+F1175-1</f>
        <v>46052</v>
      </c>
      <c r="H1175" s="31">
        <f t="shared" ref="H1175" si="357">+G1175-1</f>
        <v>46051</v>
      </c>
      <c r="I1175" s="31">
        <f t="shared" ref="I1175" si="358">+H1175-1</f>
        <v>46050</v>
      </c>
      <c r="J1175" s="31">
        <f t="shared" ref="J1175" si="359">+I1175-1</f>
        <v>46049</v>
      </c>
      <c r="K1175" s="31">
        <f t="shared" ref="K1175" si="360">+J1175-1</f>
        <v>46048</v>
      </c>
      <c r="L1175" s="31">
        <f t="shared" ref="L1175" si="361">+K1175-1</f>
        <v>46047</v>
      </c>
      <c r="M1175" s="31">
        <f t="shared" ref="M1175" si="362">+L1175-1</f>
        <v>46046</v>
      </c>
      <c r="N1175" s="31">
        <f t="shared" ref="N1175" si="363">+M1175-1</f>
        <v>46045</v>
      </c>
      <c r="O1175" s="31">
        <f t="shared" ref="O1175" si="364">+N1175-1</f>
        <v>46044</v>
      </c>
      <c r="P1175" s="31">
        <f t="shared" ref="P1175" si="365">+O1175-1</f>
        <v>46043</v>
      </c>
      <c r="Q1175" s="31">
        <f t="shared" ref="Q1175" si="366">+P1175-1</f>
        <v>46042</v>
      </c>
      <c r="R1175" s="31">
        <f t="shared" ref="R1175" si="367">+Q1175-1</f>
        <v>46041</v>
      </c>
      <c r="S1175" s="31">
        <f t="shared" ref="S1175" si="368">+R1175-1</f>
        <v>46040</v>
      </c>
      <c r="T1175" s="31">
        <f t="shared" ref="T1175" si="369">+S1175-1</f>
        <v>46039</v>
      </c>
      <c r="U1175" s="31">
        <f t="shared" ref="U1175" si="370">+T1175-1</f>
        <v>46038</v>
      </c>
      <c r="V1175" s="31">
        <f t="shared" ref="V1175" si="371">+U1175-1</f>
        <v>46037</v>
      </c>
      <c r="W1175" s="31">
        <f t="shared" ref="W1175" si="372">+V1175-1</f>
        <v>46036</v>
      </c>
      <c r="X1175" s="31">
        <f t="shared" ref="X1175" si="373">+W1175-1</f>
        <v>46035</v>
      </c>
      <c r="Y1175" s="31">
        <f t="shared" ref="Y1175" si="374">+X1175-1</f>
        <v>46034</v>
      </c>
      <c r="Z1175" s="31">
        <f t="shared" ref="Z1175" si="375">+Y1175-1</f>
        <v>46033</v>
      </c>
      <c r="AA1175" s="31">
        <f t="shared" ref="AA1175" si="376">+Z1175-1</f>
        <v>46032</v>
      </c>
      <c r="AB1175" s="31">
        <f t="shared" ref="AB1175" si="377">+AA1175-1</f>
        <v>46031</v>
      </c>
      <c r="AC1175" s="31">
        <f t="shared" ref="AC1175" si="378">+AB1175-1</f>
        <v>46030</v>
      </c>
      <c r="AD1175" s="31">
        <f t="shared" ref="AD1175" si="379">+AC1175-1</f>
        <v>46029</v>
      </c>
      <c r="AE1175" s="31">
        <f t="shared" ref="AE1175" si="380">+AD1175-1</f>
        <v>46028</v>
      </c>
      <c r="AF1175" s="31">
        <f t="shared" ref="AF1175" si="381">+AE1175-1</f>
        <v>46027</v>
      </c>
      <c r="AG1175" s="31">
        <f t="shared" ref="AG1175" si="382">+AF1175-1</f>
        <v>46026</v>
      </c>
      <c r="AH1175" s="31">
        <f t="shared" ref="AH1175" si="383">+AG1175-1</f>
        <v>46025</v>
      </c>
      <c r="AI1175" s="31">
        <f t="shared" ref="AI1175" si="384">+AH1175-1</f>
        <v>46024</v>
      </c>
      <c r="AJ1175" s="31">
        <f t="shared" ref="AJ1175" si="385">+AI1175-1</f>
        <v>46023</v>
      </c>
      <c r="AK1175" s="31">
        <f t="shared" ref="AK1175" si="386">+AJ1175-1</f>
        <v>46022</v>
      </c>
      <c r="AL1175" s="31">
        <f t="shared" ref="AL1175" si="387">+AK1175-1</f>
        <v>46021</v>
      </c>
    </row>
    <row r="1176" spans="1:39" ht="14.65" thickBot="1">
      <c r="A1176" s="32" t="s">
        <v>132</v>
      </c>
      <c r="C1176" s="33">
        <v>1</v>
      </c>
      <c r="D1176" s="34">
        <v>2</v>
      </c>
      <c r="E1176" s="34">
        <v>3</v>
      </c>
      <c r="F1176" s="34">
        <v>4</v>
      </c>
      <c r="G1176" s="34">
        <v>5</v>
      </c>
      <c r="H1176" s="34">
        <v>6</v>
      </c>
      <c r="I1176" s="34">
        <v>7</v>
      </c>
      <c r="J1176" s="34">
        <v>8</v>
      </c>
      <c r="K1176" s="34">
        <v>9</v>
      </c>
      <c r="L1176" s="34">
        <v>10</v>
      </c>
      <c r="M1176" s="34">
        <v>11</v>
      </c>
      <c r="N1176" s="34">
        <v>12</v>
      </c>
      <c r="O1176" s="34">
        <v>13</v>
      </c>
      <c r="P1176" s="34">
        <v>14</v>
      </c>
      <c r="Q1176" s="34">
        <v>15</v>
      </c>
      <c r="R1176" s="34">
        <v>16</v>
      </c>
      <c r="S1176" s="34">
        <v>17</v>
      </c>
      <c r="T1176" s="34">
        <v>18</v>
      </c>
      <c r="U1176" s="34">
        <v>19</v>
      </c>
      <c r="V1176" s="34">
        <v>20</v>
      </c>
      <c r="W1176" s="34">
        <v>21</v>
      </c>
      <c r="X1176" s="34">
        <v>22</v>
      </c>
      <c r="Y1176" s="34">
        <v>23</v>
      </c>
      <c r="Z1176" s="34">
        <v>24</v>
      </c>
      <c r="AA1176" s="34">
        <v>25</v>
      </c>
      <c r="AB1176" s="34">
        <v>26</v>
      </c>
      <c r="AC1176" s="34">
        <v>27</v>
      </c>
      <c r="AD1176" s="34">
        <v>28</v>
      </c>
      <c r="AE1176" s="34">
        <v>29</v>
      </c>
      <c r="AF1176" s="34">
        <v>30</v>
      </c>
      <c r="AG1176" s="34">
        <v>31</v>
      </c>
      <c r="AH1176" s="34">
        <v>32</v>
      </c>
      <c r="AI1176" s="34">
        <v>33</v>
      </c>
      <c r="AJ1176" s="34">
        <v>34</v>
      </c>
      <c r="AK1176" s="34">
        <v>35</v>
      </c>
      <c r="AL1176" s="35">
        <v>36</v>
      </c>
      <c r="AM1176">
        <v>37</v>
      </c>
    </row>
    <row r="1177" spans="1:39" ht="14.25" customHeight="1">
      <c r="A1177" s="36" t="s">
        <v>133</v>
      </c>
      <c r="B1177" s="418" t="s">
        <v>134</v>
      </c>
      <c r="C1177" s="37">
        <v>50896.77</v>
      </c>
      <c r="D1177" s="37">
        <v>676150.73</v>
      </c>
      <c r="E1177" s="37">
        <v>872700.85</v>
      </c>
      <c r="F1177" s="37">
        <v>360645.15</v>
      </c>
      <c r="G1177" s="37">
        <v>638111.43999999994</v>
      </c>
      <c r="H1177" s="37">
        <v>0</v>
      </c>
      <c r="I1177" s="37">
        <v>680000</v>
      </c>
      <c r="J1177" s="37">
        <v>300000</v>
      </c>
      <c r="K1177" s="37">
        <v>400000</v>
      </c>
      <c r="L1177" s="37">
        <v>1280000</v>
      </c>
      <c r="M1177" s="37">
        <v>880652.7</v>
      </c>
      <c r="N1177" s="37">
        <v>0</v>
      </c>
      <c r="O1177" s="37">
        <v>0</v>
      </c>
      <c r="P1177" s="37">
        <v>0</v>
      </c>
      <c r="Q1177" s="37">
        <v>0</v>
      </c>
      <c r="R1177" s="37">
        <v>0</v>
      </c>
      <c r="S1177" s="37">
        <v>0</v>
      </c>
      <c r="T1177" s="37">
        <v>0</v>
      </c>
      <c r="U1177" s="37">
        <v>0</v>
      </c>
      <c r="V1177" s="37">
        <v>0</v>
      </c>
      <c r="W1177" s="37">
        <v>0</v>
      </c>
      <c r="X1177" s="37">
        <v>0</v>
      </c>
      <c r="Y1177" s="37">
        <v>0</v>
      </c>
      <c r="Z1177" s="37">
        <v>0</v>
      </c>
      <c r="AA1177" s="37">
        <v>0</v>
      </c>
      <c r="AB1177" s="37">
        <v>0</v>
      </c>
      <c r="AC1177" s="37">
        <v>0</v>
      </c>
      <c r="AD1177" s="37">
        <v>0</v>
      </c>
      <c r="AE1177" s="37">
        <v>0</v>
      </c>
      <c r="AF1177" s="37">
        <v>0</v>
      </c>
      <c r="AG1177" s="37">
        <v>0</v>
      </c>
      <c r="AH1177" s="37">
        <v>0</v>
      </c>
      <c r="AI1177" s="37">
        <v>0</v>
      </c>
      <c r="AJ1177" s="37">
        <v>0</v>
      </c>
      <c r="AK1177" s="37">
        <v>0</v>
      </c>
      <c r="AL1177" s="37">
        <v>0</v>
      </c>
    </row>
    <row r="1178" spans="1:39">
      <c r="A1178" s="36" t="s">
        <v>135</v>
      </c>
      <c r="B1178" s="419"/>
      <c r="C1178" s="39">
        <v>160693.95000000001</v>
      </c>
      <c r="D1178" s="39">
        <v>612031.78</v>
      </c>
      <c r="E1178" s="39">
        <v>82761.45</v>
      </c>
      <c r="F1178" s="39">
        <v>155414.53</v>
      </c>
      <c r="G1178" s="39">
        <v>517272.29</v>
      </c>
      <c r="H1178" s="39">
        <v>87752.87</v>
      </c>
      <c r="I1178" s="39">
        <v>621097.78</v>
      </c>
      <c r="J1178" s="39">
        <v>675033.29</v>
      </c>
      <c r="K1178" s="39">
        <v>317636.17</v>
      </c>
      <c r="L1178" s="39">
        <v>1577489.72</v>
      </c>
      <c r="M1178" s="39">
        <v>272450.05</v>
      </c>
      <c r="N1178" s="39">
        <v>47041.79</v>
      </c>
      <c r="O1178" s="39">
        <v>387.14</v>
      </c>
      <c r="P1178" s="39">
        <v>0</v>
      </c>
      <c r="Q1178" s="39">
        <v>0</v>
      </c>
      <c r="R1178" s="39">
        <v>0</v>
      </c>
      <c r="S1178" s="39">
        <v>0</v>
      </c>
      <c r="T1178" s="39">
        <v>0</v>
      </c>
      <c r="U1178" s="39">
        <v>0</v>
      </c>
      <c r="V1178" s="39">
        <v>0</v>
      </c>
      <c r="W1178" s="39">
        <v>0</v>
      </c>
      <c r="X1178" s="39">
        <v>0</v>
      </c>
      <c r="Y1178" s="39">
        <v>0</v>
      </c>
      <c r="Z1178" s="39">
        <v>0</v>
      </c>
      <c r="AA1178" s="39">
        <v>0</v>
      </c>
      <c r="AB1178" s="39">
        <v>0</v>
      </c>
      <c r="AC1178" s="39">
        <v>0</v>
      </c>
      <c r="AD1178" s="39">
        <v>0</v>
      </c>
      <c r="AE1178" s="39">
        <v>0</v>
      </c>
      <c r="AF1178" s="39">
        <v>0</v>
      </c>
      <c r="AG1178" s="39">
        <v>0</v>
      </c>
      <c r="AH1178" s="39">
        <v>0</v>
      </c>
      <c r="AI1178" s="39">
        <v>0</v>
      </c>
      <c r="AJ1178" s="39">
        <v>0</v>
      </c>
      <c r="AK1178" s="39">
        <v>0</v>
      </c>
      <c r="AL1178" s="39">
        <v>0</v>
      </c>
    </row>
    <row r="1179" spans="1:39">
      <c r="A1179" s="36" t="s">
        <v>136</v>
      </c>
      <c r="B1179" s="419"/>
      <c r="C1179" s="39">
        <v>-115015.89</v>
      </c>
      <c r="D1179" s="39">
        <v>546112.13</v>
      </c>
      <c r="E1179" s="39">
        <v>-142120.82999999999</v>
      </c>
      <c r="F1179" s="39">
        <v>-62958.59</v>
      </c>
      <c r="G1179" s="39">
        <v>107229.63</v>
      </c>
      <c r="H1179" s="39">
        <v>-162293.34</v>
      </c>
      <c r="I1179" s="39">
        <v>261310.53</v>
      </c>
      <c r="J1179" s="39">
        <v>-480911.25</v>
      </c>
      <c r="K1179" s="39">
        <v>-314324.53000000003</v>
      </c>
      <c r="L1179" s="39">
        <v>367763.38</v>
      </c>
      <c r="M1179" s="39">
        <v>729797.41</v>
      </c>
      <c r="N1179" s="39">
        <v>-29303.72</v>
      </c>
      <c r="O1179" s="39">
        <v>-449.08</v>
      </c>
      <c r="P1179" s="39">
        <v>0</v>
      </c>
      <c r="Q1179" s="39">
        <v>0</v>
      </c>
      <c r="R1179" s="39">
        <v>0</v>
      </c>
      <c r="S1179" s="39">
        <v>0</v>
      </c>
      <c r="T1179" s="39">
        <v>0</v>
      </c>
      <c r="U1179" s="39">
        <v>0</v>
      </c>
      <c r="V1179" s="39">
        <v>0</v>
      </c>
      <c r="W1179" s="39">
        <v>0</v>
      </c>
      <c r="X1179" s="39">
        <v>0</v>
      </c>
      <c r="Y1179" s="39">
        <v>0</v>
      </c>
      <c r="Z1179" s="39">
        <v>0</v>
      </c>
      <c r="AA1179" s="39">
        <v>0</v>
      </c>
      <c r="AB1179" s="39">
        <v>0</v>
      </c>
      <c r="AC1179" s="39">
        <v>0</v>
      </c>
      <c r="AD1179" s="39">
        <v>0</v>
      </c>
      <c r="AE1179" s="39">
        <v>0</v>
      </c>
      <c r="AF1179" s="39">
        <v>0</v>
      </c>
      <c r="AG1179" s="39">
        <v>0</v>
      </c>
      <c r="AH1179" s="39">
        <v>0</v>
      </c>
      <c r="AI1179" s="39">
        <v>0</v>
      </c>
      <c r="AJ1179" s="39">
        <v>0</v>
      </c>
      <c r="AK1179" s="39">
        <v>0</v>
      </c>
      <c r="AL1179" s="39">
        <v>0</v>
      </c>
    </row>
    <row r="1180" spans="1:39">
      <c r="A1180" s="36" t="s">
        <v>137</v>
      </c>
      <c r="B1180" s="419"/>
      <c r="C1180" s="39">
        <v>0</v>
      </c>
      <c r="D1180" s="39">
        <v>0</v>
      </c>
      <c r="E1180" s="39">
        <v>480874.87</v>
      </c>
      <c r="F1180" s="39">
        <v>0</v>
      </c>
      <c r="G1180" s="39">
        <v>361575.33</v>
      </c>
      <c r="H1180" s="39">
        <v>0</v>
      </c>
      <c r="I1180" s="39">
        <v>0</v>
      </c>
      <c r="J1180" s="39">
        <v>0</v>
      </c>
      <c r="K1180" s="39">
        <v>0</v>
      </c>
      <c r="L1180" s="39">
        <v>0</v>
      </c>
      <c r="M1180" s="39">
        <v>0</v>
      </c>
      <c r="N1180" s="39">
        <v>0</v>
      </c>
      <c r="O1180" s="39">
        <v>0</v>
      </c>
      <c r="P1180" s="39">
        <v>0</v>
      </c>
      <c r="Q1180" s="39">
        <v>0</v>
      </c>
      <c r="R1180" s="39">
        <v>0</v>
      </c>
      <c r="S1180" s="39">
        <v>0</v>
      </c>
      <c r="T1180" s="39">
        <v>0</v>
      </c>
      <c r="U1180" s="39">
        <v>0</v>
      </c>
      <c r="V1180" s="39">
        <v>0</v>
      </c>
      <c r="W1180" s="39">
        <v>0</v>
      </c>
      <c r="X1180" s="39">
        <v>0</v>
      </c>
      <c r="Y1180" s="39">
        <v>0</v>
      </c>
      <c r="Z1180" s="39">
        <v>0</v>
      </c>
      <c r="AA1180" s="39">
        <v>0</v>
      </c>
      <c r="AB1180" s="39">
        <v>0</v>
      </c>
      <c r="AC1180" s="39">
        <v>0</v>
      </c>
      <c r="AD1180" s="39">
        <v>0</v>
      </c>
      <c r="AE1180" s="39">
        <v>0</v>
      </c>
      <c r="AF1180" s="39">
        <v>0</v>
      </c>
      <c r="AG1180" s="39">
        <v>0</v>
      </c>
      <c r="AH1180" s="39">
        <v>0</v>
      </c>
      <c r="AI1180" s="39">
        <v>0</v>
      </c>
      <c r="AJ1180" s="39">
        <v>0</v>
      </c>
      <c r="AK1180" s="39">
        <v>0</v>
      </c>
      <c r="AL1180" s="39">
        <v>0</v>
      </c>
    </row>
    <row r="1181" spans="1:39" ht="14.65" thickBot="1">
      <c r="A1181" s="44" t="s">
        <v>138</v>
      </c>
      <c r="B1181" s="420"/>
      <c r="C1181" s="45">
        <v>0</v>
      </c>
      <c r="D1181" s="45">
        <v>271.52999999999997</v>
      </c>
      <c r="E1181" s="45">
        <v>0</v>
      </c>
      <c r="F1181" s="45">
        <v>0</v>
      </c>
      <c r="G1181" s="45">
        <v>0</v>
      </c>
      <c r="H1181" s="45">
        <v>0</v>
      </c>
      <c r="I1181" s="45">
        <v>44315.199999999997</v>
      </c>
      <c r="J1181" s="45">
        <v>0</v>
      </c>
      <c r="K1181" s="45">
        <v>0</v>
      </c>
      <c r="L1181" s="45">
        <v>0</v>
      </c>
      <c r="M1181" s="45">
        <v>0</v>
      </c>
      <c r="N1181" s="45">
        <v>0</v>
      </c>
      <c r="O1181" s="45">
        <v>0</v>
      </c>
      <c r="P1181" s="45">
        <v>0</v>
      </c>
      <c r="Q1181" s="45">
        <v>0</v>
      </c>
      <c r="R1181" s="45">
        <v>0</v>
      </c>
      <c r="S1181" s="45">
        <v>0</v>
      </c>
      <c r="T1181" s="45">
        <v>0</v>
      </c>
      <c r="U1181" s="45">
        <v>0</v>
      </c>
      <c r="V1181" s="45">
        <v>0</v>
      </c>
      <c r="W1181" s="45">
        <v>0</v>
      </c>
      <c r="X1181" s="45">
        <v>0</v>
      </c>
      <c r="Y1181" s="45">
        <v>0</v>
      </c>
      <c r="Z1181" s="45">
        <v>0</v>
      </c>
      <c r="AA1181" s="45">
        <v>0</v>
      </c>
      <c r="AB1181" s="45">
        <v>0</v>
      </c>
      <c r="AC1181" s="45">
        <v>0</v>
      </c>
      <c r="AD1181" s="45">
        <v>0</v>
      </c>
      <c r="AE1181" s="45">
        <v>0</v>
      </c>
      <c r="AF1181" s="45">
        <v>0</v>
      </c>
      <c r="AG1181" s="45">
        <v>0</v>
      </c>
      <c r="AH1181" s="45">
        <v>0</v>
      </c>
      <c r="AI1181" s="45">
        <v>0</v>
      </c>
      <c r="AJ1181" s="45">
        <v>0</v>
      </c>
      <c r="AK1181" s="45">
        <v>0</v>
      </c>
      <c r="AL1181" s="45">
        <v>0</v>
      </c>
    </row>
    <row r="1182" spans="1:39" ht="14.65" thickBot="1"/>
    <row r="1183" spans="1:39">
      <c r="A1183" s="47" t="s">
        <v>139</v>
      </c>
      <c r="B1183" s="48" t="s">
        <v>140</v>
      </c>
      <c r="C1183" t="s">
        <v>141</v>
      </c>
      <c r="E1183" s="455" t="s">
        <v>142</v>
      </c>
      <c r="F1183" s="455"/>
      <c r="I1183" s="414" t="s">
        <v>143</v>
      </c>
      <c r="J1183" s="414"/>
      <c r="M1183" s="415" t="s">
        <v>144</v>
      </c>
      <c r="N1183" s="415"/>
    </row>
    <row r="1184" spans="1:39">
      <c r="A1184" s="24" t="s">
        <v>145</v>
      </c>
      <c r="B1184" s="72">
        <v>0.35</v>
      </c>
      <c r="C1184" s="217">
        <f>+B1184*F1188</f>
        <v>10.5</v>
      </c>
      <c r="E1184" s="49" t="s">
        <v>146</v>
      </c>
      <c r="F1184" s="23">
        <f>IF(B1240&gt;=(B1241*1.5),100,IF(B1240&gt;=(B1241*1.3),80,IF(B1240&gt;=(B1241*1),50,IF(B1240&gt;=(B1241*0.75),30,IF(B1240&gt;=(B1241*0.5),15,IF(B1240&gt;=(B1241*0.25),10,IF(B1240&gt;=(B1241*0.1),0,-30)))))))</f>
        <v>15</v>
      </c>
      <c r="G1184" s="7"/>
      <c r="I1184" s="49" t="s">
        <v>147</v>
      </c>
      <c r="J1184">
        <f>IF(B1225&lt;0.02,100,IF(B1225&lt;0.05,70,IF(B1225&lt;0.1,40,0)))</f>
        <v>0</v>
      </c>
      <c r="M1184" s="49" t="s">
        <v>148</v>
      </c>
      <c r="N1184">
        <f>IF(B1218&gt;=36,100,
IF(B1218&gt;=24,80,
IF(B1218&gt;=12,60,40)))</f>
        <v>60</v>
      </c>
    </row>
    <row r="1185" spans="1:14">
      <c r="A1185" s="24" t="s">
        <v>61</v>
      </c>
      <c r="B1185" s="72">
        <v>0.25</v>
      </c>
      <c r="C1185" s="217">
        <f>+B1185*N1191</f>
        <v>4</v>
      </c>
      <c r="E1185" s="49" t="s">
        <v>149</v>
      </c>
      <c r="F1185">
        <f>IF(B1207&gt;0.3,100,IF(B1207&gt;0.2,80,IF(B1207&gt;0.15,60,IF(B1207&gt;0.1,40,IF(B1207&gt;0.05,20,IF(B1207&gt;0,0,-20))))))</f>
        <v>40</v>
      </c>
      <c r="G1185" s="7"/>
      <c r="I1185" s="49" t="s">
        <v>150</v>
      </c>
      <c r="J1185">
        <f>IF(B1219=1,-100,100)</f>
        <v>100</v>
      </c>
      <c r="M1185" s="49" t="s">
        <v>151</v>
      </c>
      <c r="N1185">
        <f>IF(B1217&gt;=24,100,
IF(B1217&gt;=12,80,
IF(B1217&gt;=6,60,40)))</f>
        <v>80</v>
      </c>
    </row>
    <row r="1186" spans="1:14" ht="14.65" thickBot="1">
      <c r="A1186" s="24" t="s">
        <v>152</v>
      </c>
      <c r="B1186" s="72">
        <v>7.4999999999999997E-2</v>
      </c>
      <c r="C1186" s="217">
        <f>+B1186*J1187</f>
        <v>5</v>
      </c>
      <c r="E1186" s="49" t="s">
        <v>153</v>
      </c>
      <c r="F1186">
        <f>IF(B1210&lt;0.1,100,IF(B1210&lt;0.2,70,IF(B1210&lt;0.3,50,IF(B1210&lt;0.4,30,IF(B1210&lt;0.5,20,IF(B1210&gt;0.5,0,))))))</f>
        <v>0</v>
      </c>
      <c r="G1186" s="7"/>
      <c r="I1186" s="49" t="s">
        <v>154</v>
      </c>
      <c r="J1186">
        <f>IF(B1229="NO FACHADA",100,-50)</f>
        <v>100</v>
      </c>
      <c r="M1186" s="49" t="s">
        <v>155</v>
      </c>
      <c r="N1186">
        <f>IF(B1214&gt;0.2,100,
IF(B1214&gt;0.1,80,
IF(B1214&gt;0,40,IF(B1214&gt;-0.05,0,-40))))</f>
        <v>-40</v>
      </c>
    </row>
    <row r="1187" spans="1:14" ht="15" thickTop="1" thickBot="1">
      <c r="A1187" s="24" t="s">
        <v>156</v>
      </c>
      <c r="B1187" s="72">
        <v>7.4999999999999997E-2</v>
      </c>
      <c r="C1187" s="217">
        <f>+B1187*J1193</f>
        <v>3</v>
      </c>
      <c r="E1187" s="49" t="str">
        <f>+A1243</f>
        <v>Activo VS ventas anuales</v>
      </c>
      <c r="F1187">
        <f>IF(B1243&lt;0.1,100,
IF(B1243&lt;0.2,80,
IF(B1243&lt;0.3,40,IF(B1243&lt;0.5,20,IF(B1243&lt;0.7,0,-40)))))</f>
        <v>80</v>
      </c>
      <c r="G1187" s="7"/>
      <c r="J1187" s="215">
        <f>AVERAGE(J1184,J1185,J1186)</f>
        <v>66.666666666666671</v>
      </c>
      <c r="M1187" s="49" t="s">
        <v>402</v>
      </c>
      <c r="N1187" s="441">
        <f>+D1215</f>
        <v>100</v>
      </c>
    </row>
    <row r="1188" spans="1:14" ht="15" thickTop="1" thickBot="1">
      <c r="A1188" s="50" t="s">
        <v>158</v>
      </c>
      <c r="B1188" s="368">
        <v>0.25</v>
      </c>
      <c r="C1188" s="217">
        <f>+B1188*F1193</f>
        <v>12.75</v>
      </c>
      <c r="D1188" s="217">
        <f>+B1188*G1193</f>
        <v>25</v>
      </c>
      <c r="F1188" s="215">
        <f>F1184*0.4 + F1185*0.3 + F1186*0.15+F1187*0.15</f>
        <v>30</v>
      </c>
      <c r="G1188" s="7"/>
      <c r="M1188" s="49" t="s">
        <v>157</v>
      </c>
      <c r="N1188">
        <f>IF(B1203&lt;30,100,IF(B1203&lt;45,90,IF(B1203&lt;60,75,IF(B1203&lt;75,60,IF(B1203&lt;90,40,20)))))</f>
        <v>100</v>
      </c>
    </row>
    <row r="1189" spans="1:14" ht="16.149999999999999" thickBot="1">
      <c r="A1189" s="377" t="s">
        <v>360</v>
      </c>
      <c r="B1189" s="378">
        <f>+(C1184+C1185+C1186+C1187+C1188)*10</f>
        <v>352.5</v>
      </c>
      <c r="I1189" s="416" t="s">
        <v>160</v>
      </c>
      <c r="J1189" s="416"/>
      <c r="M1189" s="49" t="s">
        <v>159</v>
      </c>
      <c r="N1189">
        <f>IF(AND(B1204&gt;=30,B1204&lt;=60),100,IF(OR(AND(B1204&gt;=15,B1204&lt;30),AND(B1204&gt;60,B1204&lt;=75)),70,20))</f>
        <v>20</v>
      </c>
    </row>
    <row r="1190" spans="1:14" ht="16.149999999999999" thickBot="1">
      <c r="A1190" s="44" t="s">
        <v>361</v>
      </c>
      <c r="B1190" s="379">
        <f>+(C1184+C1185+C1186+C1187+D1188)*10</f>
        <v>475</v>
      </c>
      <c r="C1190" s="384" t="str">
        <f>IF(B1190&gt;=850,"Excelente Candidato",
IF(B1190&gt;=700,"Aprobación",
IF(B1190&gt;=550,"Aprobar con Aval",
IF(B1190&gt;=500,"Revisar con Obligado",IF(B1190&gt;=400,"Solicitar Aval * Depósitos","Sugerenica Rechazo")))))</f>
        <v>Solicitar Aval * Depósitos</v>
      </c>
      <c r="E1190" s="417" t="s">
        <v>161</v>
      </c>
      <c r="F1190" s="417"/>
      <c r="G1190" s="23" t="s">
        <v>162</v>
      </c>
      <c r="I1190" s="49" t="s">
        <v>163</v>
      </c>
      <c r="J1190">
        <f>IF(B1221&lt;1500,100,IF(B1221&lt;2000,50,IF(B1221&lt;2500,25,IF(B1221&lt;3500,0,IF(B1221&gt;=3500,-30,)))))</f>
        <v>-30</v>
      </c>
      <c r="M1190" s="49" t="str">
        <f>+A1209</f>
        <v>Coeficiente Variacion Flujo</v>
      </c>
      <c r="N1190">
        <f>IF(B1199&lt;0,IF(B1209&gt;2,-30,0),IF(B1209&lt;1,100,IF(B1209&lt;2,70,IF(B1209&lt;3,40,IF(B1209&lt;4,30,IF(B1209&lt;5,0,-30))))))</f>
        <v>-30</v>
      </c>
    </row>
    <row r="1191" spans="1:14" ht="15" thickTop="1" thickBot="1">
      <c r="A1191" s="8" t="s">
        <v>164</v>
      </c>
      <c r="B1191" s="383" t="str">
        <f>IF(B1190&gt;=850,"Muy poco riesgo",
IF(B1190&gt;=700,"Riesgo Bajo",
IF(B1190&gt;=600,"Riesgo aceptable",
IF(B1190&gt;=500,"Riesgo Medio",IF(B1190&gt;=400,"Riesgo Alto","Riesgo muy Alto")))))</f>
        <v>Riesgo Alto</v>
      </c>
      <c r="C1191" s="318" t="str">
        <f>+IF(B1220="RECHAZAR","RECHAZAR",IF(B1226="ALERTA","ALERTA","NO en listas negras"))</f>
        <v>NO en listas negras</v>
      </c>
      <c r="E1191" s="49" t="s">
        <v>165</v>
      </c>
      <c r="F1191">
        <f>IF(B1227&gt;=330,100,IF(B1227&gt;=300,80,IF(B1227&gt;=270,72,IF(B1227&gt;=240,68,IF(B1227&gt;=220,64,IF(B1227&gt;=200,40,IF(B1227&gt;=180,10,IF(B1227="",30,0))))))))</f>
        <v>30</v>
      </c>
      <c r="G1191" s="2" t="s">
        <v>166</v>
      </c>
      <c r="I1191" s="442" t="s">
        <v>403</v>
      </c>
      <c r="J1191" s="23">
        <f>IF(B1223&lt;0.025,100,IF(B1223&lt;0.05,80,IF(B1223&lt;0.075,50,IF(B1223&lt;0.1,0,IF(B1223&lt;0.15,-20,IF(B1223&gt;0.25,-30,-40))))))</f>
        <v>50</v>
      </c>
      <c r="N1191" s="357">
        <f>(N1184*0.025)+(N1185*0.025)+(N1186*0.3)+(N1187*0.15)+(N1188*0.15)+(N1189*0.1)+(N1190*0.25)</f>
        <v>16</v>
      </c>
    </row>
    <row r="1192" spans="1:14" ht="15" thickTop="1" thickBot="1">
      <c r="A1192" s="8" t="s">
        <v>136</v>
      </c>
      <c r="B1192" s="319" t="str">
        <f>+C1242</f>
        <v>AVAL</v>
      </c>
      <c r="C1192" s="320" t="str">
        <f>+B1229</f>
        <v>NO FACHADA</v>
      </c>
      <c r="E1192" s="8" t="str">
        <f>+A1205</f>
        <v>CxP / Flujo Operativo</v>
      </c>
      <c r="F1192" s="23">
        <f>IF(B1205&lt;=0, -30, IF(B1205&lt;1, 100, IF(B1205&lt;2, 70, IF(B1205&lt;3, 40, IF(B1205&lt;5, 30, 0)))))</f>
        <v>100</v>
      </c>
      <c r="G1192" s="385">
        <f>IF(B1199&lt;0, -20, IF(B1205&lt;1, 100, IF(B1205&lt;2, 70, IF(B1205&lt;3, 40, IF(B1205&lt;5, 30, 0)))))</f>
        <v>100</v>
      </c>
      <c r="I1192" s="49" t="s">
        <v>168</v>
      </c>
      <c r="J1192">
        <f>IF(B1224&lt;0.05,100,
IF(B1224&lt;0.1,80,IF(B1224&lt;0.2,50,IF(B1224&lt;0.4,0,-40))))</f>
        <v>100</v>
      </c>
      <c r="L1192" t="s">
        <v>169</v>
      </c>
    </row>
    <row r="1193" spans="1:14" ht="15" thickTop="1" thickBot="1">
      <c r="A1193" s="8" t="s">
        <v>156</v>
      </c>
      <c r="B1193" s="321" t="str">
        <f>+B1222</f>
        <v>ALERTA CONCENTRACION</v>
      </c>
      <c r="C1193" s="322" t="str">
        <f>+C1239</f>
        <v>Ok Flujo</v>
      </c>
      <c r="F1193" s="214">
        <f>(F1191*0.7)+(F1192*0.3)</f>
        <v>51</v>
      </c>
      <c r="G1193" s="214">
        <f>(G1192*1)</f>
        <v>100</v>
      </c>
      <c r="J1193" s="215">
        <f>AVERAGE(J1190,J1191,J1192)</f>
        <v>40</v>
      </c>
      <c r="L1193" t="s">
        <v>102</v>
      </c>
      <c r="M1193" t="s">
        <v>103</v>
      </c>
    </row>
    <row r="1194" spans="1:14">
      <c r="L1194" t="s">
        <v>150</v>
      </c>
      <c r="M1194" t="s">
        <v>170</v>
      </c>
    </row>
    <row r="1195" spans="1:14" ht="21.4" thickBot="1">
      <c r="A1195" s="51" t="s">
        <v>171</v>
      </c>
      <c r="B1195" s="52" t="s">
        <v>172</v>
      </c>
      <c r="D1195" s="53"/>
      <c r="L1195" t="s">
        <v>173</v>
      </c>
      <c r="M1195" t="s">
        <v>170</v>
      </c>
    </row>
    <row r="1196" spans="1:14" ht="14.65" thickBot="1">
      <c r="A1196" s="55" t="s">
        <v>174</v>
      </c>
      <c r="B1196" s="56" t="s">
        <v>175</v>
      </c>
      <c r="C1196" s="56" t="s">
        <v>176</v>
      </c>
      <c r="D1196" s="56" t="s">
        <v>177</v>
      </c>
      <c r="E1196" s="56" t="s">
        <v>178</v>
      </c>
      <c r="L1196" t="s">
        <v>179</v>
      </c>
      <c r="M1196" t="s">
        <v>170</v>
      </c>
    </row>
    <row r="1197" spans="1:14">
      <c r="A1197" t="s">
        <v>180</v>
      </c>
      <c r="B1197" s="358">
        <f>AVERAGE(C1177:N1177)</f>
        <v>511596.47</v>
      </c>
      <c r="C1197" s="359">
        <f>AVERAGE(C1177:AL1177)</f>
        <v>170532.15666666665</v>
      </c>
      <c r="D1197" s="2" t="str">
        <f>IF(B1197/B1198&gt;1.5,"Bien",IF(B1197/B1198&gt;1.3,"Ok",IF(B1197/B1198&gt;1.2,"Revisar",IF(B1197/B1198&gt;1.15,"Muy Bajo","Alerta"))))</f>
        <v>Muy Bajo</v>
      </c>
      <c r="E1197" s="57" t="s">
        <v>181</v>
      </c>
      <c r="L1197" t="s">
        <v>182</v>
      </c>
      <c r="M1197" t="s">
        <v>183</v>
      </c>
    </row>
    <row r="1198" spans="1:14">
      <c r="A1198" t="s">
        <v>184</v>
      </c>
      <c r="B1198" s="358">
        <f>AVERAGE(C1178:N1178)</f>
        <v>427222.97249999997</v>
      </c>
      <c r="C1198" s="359">
        <f>AVERAGE(C1178:AL1178)</f>
        <v>142418.41138888887</v>
      </c>
      <c r="D1198" s="53" t="str">
        <f>IF(B1198/B1197&lt;0.6,"Bien",IF(B1198/B1197&lt;0.76,"Ok",IF(B1198/B1197&lt;0.8,"Revisar",IF(B1198/B1197&lt;0.89,"Riesgo","Alerta"))))</f>
        <v>Riesgo</v>
      </c>
      <c r="E1198" s="57" t="s">
        <v>185</v>
      </c>
      <c r="L1198" t="s">
        <v>186</v>
      </c>
      <c r="M1198" t="s">
        <v>183</v>
      </c>
    </row>
    <row r="1199" spans="1:14">
      <c r="A1199" t="s">
        <v>187</v>
      </c>
      <c r="B1199" s="358">
        <f>AVERAGE(C1179:N1179)</f>
        <v>58773.744166666678</v>
      </c>
      <c r="C1199" s="359">
        <f>AVERAGE(C1179:AL1179)</f>
        <v>19578.773611111115</v>
      </c>
      <c r="D1199" s="53" t="str">
        <f>IF(B1199/B1238&gt;2,"Bien",IF(B1199/B1238&gt;1.5,"Ok",IF(B1199/B1238&gt;1.2,"Revisión","Alerta")))</f>
        <v>Bien</v>
      </c>
      <c r="E1199" s="57" t="s">
        <v>188</v>
      </c>
    </row>
    <row r="1200" spans="1:14">
      <c r="A1200" t="s">
        <v>189</v>
      </c>
      <c r="B1200" s="359">
        <f>B1199*IF(B1199&gt;=0, B1248, 1+(1-B1248))</f>
        <v>41141.620916666674</v>
      </c>
      <c r="C1200" s="359">
        <f>C1199*IF(C1199&gt;=0, B1248, 1+(1-B1248))</f>
        <v>13705.14152777778</v>
      </c>
      <c r="D1200" s="2" t="str">
        <f>IF(B1200/B1238&gt;2,"Bien",IF(B1200/B1238&gt;1.5,"Ok",IF(B1200/B1238&gt;1.2,"Revisión","Alerta")))</f>
        <v>Ok</v>
      </c>
      <c r="E1200" s="57" t="s">
        <v>190</v>
      </c>
    </row>
    <row r="1201" spans="1:9">
      <c r="A1201" t="s">
        <v>191</v>
      </c>
      <c r="B1201" s="358">
        <f>AVERAGE(C1180:N1180)</f>
        <v>70204.183333333334</v>
      </c>
      <c r="C1201" s="359">
        <f>AVERAGE(C1180:AL1180)</f>
        <v>23401.394444444442</v>
      </c>
      <c r="E1201" s="9" t="s">
        <v>192</v>
      </c>
    </row>
    <row r="1202" spans="1:9">
      <c r="A1202" t="s">
        <v>193</v>
      </c>
      <c r="B1202" s="358">
        <f>AVERAGE(C1181:N1181)</f>
        <v>3715.560833333333</v>
      </c>
      <c r="C1202" s="359">
        <f>AVERAGE(C1181:AL1181)</f>
        <v>1238.5202777777777</v>
      </c>
      <c r="E1202" s="9" t="s">
        <v>194</v>
      </c>
    </row>
    <row r="1203" spans="1:9">
      <c r="A1203" t="s">
        <v>195</v>
      </c>
      <c r="B1203" s="360">
        <f>+(B1201/B1197)*30</f>
        <v>4.116770977719999</v>
      </c>
      <c r="C1203" s="360">
        <f>+(C1201/C1197)*30</f>
        <v>4.116770977719999</v>
      </c>
      <c r="D1203" s="10" t="str">
        <f>+IF(B1203&gt;B1204,"Financia a Proveedores", "Proveedores la Financian")</f>
        <v>Financia a Proveedores</v>
      </c>
      <c r="E1203" s="9" t="s">
        <v>196</v>
      </c>
    </row>
    <row r="1204" spans="1:9">
      <c r="A1204" t="s">
        <v>197</v>
      </c>
      <c r="B1204" s="360">
        <f>+(B1202/B1198)*30</f>
        <v>0.26091018548867945</v>
      </c>
      <c r="C1204" s="360">
        <f>+(C1202/C1198)*30</f>
        <v>0.26089048439022339</v>
      </c>
      <c r="D1204" s="10" t="str">
        <f>+IF(B1204&gt;B1203,"Proveedores la Financian","Financia a Proveedores")</f>
        <v>Financia a Proveedores</v>
      </c>
      <c r="E1204" s="9" t="s">
        <v>196</v>
      </c>
    </row>
    <row r="1205" spans="1:9">
      <c r="A1205" t="s">
        <v>198</v>
      </c>
      <c r="B1205" s="208">
        <f>+((B1202*4.5)/(B1199*12))</f>
        <v>2.3706764512889843E-2</v>
      </c>
      <c r="C1205" s="208">
        <f>+(C1202*4.5)/(C1199*12)</f>
        <v>2.3721869070649562E-2</v>
      </c>
      <c r="D1205" s="59">
        <f>IF(B1205&lt;=0,"ALERTA",(B1202*4.5)/(B1199*12))</f>
        <v>2.3706764512889843E-2</v>
      </c>
      <c r="E1205" s="57" t="s">
        <v>346</v>
      </c>
      <c r="I1205" t="s">
        <v>199</v>
      </c>
    </row>
    <row r="1206" spans="1:9">
      <c r="A1206" t="s">
        <v>200</v>
      </c>
      <c r="B1206" s="427"/>
      <c r="C1206" s="360"/>
      <c r="E1206" t="s">
        <v>201</v>
      </c>
    </row>
    <row r="1207" spans="1:9">
      <c r="A1207" t="s">
        <v>202</v>
      </c>
      <c r="B1207" s="60">
        <f>(B1199/B1197)</f>
        <v>0.11488301349433995</v>
      </c>
      <c r="C1207" s="60">
        <f>(C1199/C1197)</f>
        <v>0.11480986339357141</v>
      </c>
      <c r="D1207" s="2">
        <f>IF(B1207&lt;=0,"ALERTA",(B1204*4.5)/(B1201*12))</f>
        <v>1.3936679398961002E-6</v>
      </c>
      <c r="E1207" s="57" t="s">
        <v>203</v>
      </c>
    </row>
    <row r="1208" spans="1:9">
      <c r="A1208" t="s">
        <v>362</v>
      </c>
      <c r="B1208" s="381">
        <f>_xlfn.STDEV.P(C1179:N1179)</f>
        <v>341453.50080219668</v>
      </c>
      <c r="C1208" s="381">
        <f>_xlfn.STDEV.P(C1179:AL1179)</f>
        <v>199076.93478583399</v>
      </c>
      <c r="E1208" s="57" t="s">
        <v>204</v>
      </c>
    </row>
    <row r="1209" spans="1:9">
      <c r="A1209" t="s">
        <v>205</v>
      </c>
      <c r="B1209" s="382">
        <f>ABS(B1208/B1199)</f>
        <v>5.8096264861725588</v>
      </c>
      <c r="C1209" s="366">
        <f>C1208/C1199</f>
        <v>10.167998197438484</v>
      </c>
      <c r="D1209" s="57"/>
      <c r="E1209" s="57" t="s">
        <v>370</v>
      </c>
    </row>
    <row r="1210" spans="1:9">
      <c r="A1210" t="s">
        <v>371</v>
      </c>
      <c r="B1210" s="60">
        <f>(B1208/B1197)</f>
        <v>0.66742739800803685</v>
      </c>
      <c r="C1210" s="60">
        <f>+(C1208/C1197)</f>
        <v>1.1673864840339927</v>
      </c>
      <c r="D1210" s="2" t="str">
        <f>+IF(B1210&lt;20%,"Estables",IF(B1210&lt;40%,"Normal",IF(B1210&gt;40%,"Volatil")))</f>
        <v>Volatil</v>
      </c>
      <c r="E1210" s="57" t="s">
        <v>207</v>
      </c>
    </row>
    <row r="1211" spans="1:9">
      <c r="A1211" t="s">
        <v>208</v>
      </c>
      <c r="B1211" s="361">
        <f>COUNTIF(E1177:P1177,"&gt;0")</f>
        <v>8</v>
      </c>
      <c r="C1211" s="362">
        <f>COUNTIF(E1177:AN1177,"&gt;0")</f>
        <v>8</v>
      </c>
      <c r="E1211" s="57" t="s">
        <v>209</v>
      </c>
    </row>
    <row r="1212" spans="1:9">
      <c r="A1212" t="s">
        <v>210</v>
      </c>
      <c r="B1212" s="363">
        <f>B1211/12</f>
        <v>0.66666666666666663</v>
      </c>
      <c r="C1212" s="363">
        <f>C1211/36</f>
        <v>0.22222222222222221</v>
      </c>
      <c r="D1212" s="2" t="str">
        <f>+IF(B1212&gt;90%,"Estable",IF(B1212&gt;50%,"Intermitente",IF(B1212&lt;50%,"Riesgoso")))</f>
        <v>Intermitente</v>
      </c>
      <c r="E1212" s="57" t="s">
        <v>211</v>
      </c>
    </row>
    <row r="1213" spans="1:9">
      <c r="A1213" s="203"/>
      <c r="B1213" s="204"/>
      <c r="C1213" s="204"/>
      <c r="D1213" s="205"/>
      <c r="E1213" s="206"/>
    </row>
    <row r="1214" spans="1:9">
      <c r="A1214" t="s">
        <v>212</v>
      </c>
      <c r="B1214" s="60">
        <f>AVERAGE(C1177:H1177)/AVERAGE(I1177:N1177)-1</f>
        <v>-0.26609437293863925</v>
      </c>
      <c r="C1214" s="60" t="e">
        <f>AVERAGE(C1177:T1177)/AVERAGE(U1177:AL1177)-1</f>
        <v>#DIV/0!</v>
      </c>
      <c r="D1214" s="59" t="str">
        <f>+IF(B1214&gt;15%,"Bueno",IF(B1214&gt;5%,"Estable",IF(B1214&gt;1%,"Bajo",IF(B1214&gt;-10%,"Alerta","Deterioro"))))</f>
        <v>Deterioro</v>
      </c>
      <c r="E1214" s="9" t="s">
        <v>213</v>
      </c>
    </row>
    <row r="1215" spans="1:9" ht="14.65" thickBot="1">
      <c r="A1215" s="23" t="s">
        <v>401</v>
      </c>
      <c r="B1215" s="439">
        <f>AVERAGE(C1178:H1178)/AVERAGE(I1178:N1178)-1</f>
        <v>-0.539720167389931</v>
      </c>
      <c r="C1215" s="439" t="e">
        <f>AVERAGE(C1178:T1178)/AVERAGE(U1178:AL1178)-1</f>
        <v>#DIV/0!</v>
      </c>
      <c r="D1215" s="440">
        <f>IF(B1215&gt;B1214,-20,IF(B1215&lt;0,100,IF(B1215&lt;=B1214*0.5,80,IF(B1215&lt;=B1214,60,30))))</f>
        <v>100</v>
      </c>
    </row>
    <row r="1216" spans="1:9" ht="14.65" thickBot="1">
      <c r="A1216" s="55" t="s">
        <v>214</v>
      </c>
      <c r="B1216" s="61" t="s">
        <v>215</v>
      </c>
      <c r="C1216" s="56" t="s">
        <v>178</v>
      </c>
      <c r="D1216" s="411"/>
    </row>
    <row r="1217" spans="1:9">
      <c r="A1217" s="16" t="s">
        <v>216</v>
      </c>
      <c r="B1217" s="62">
        <v>13</v>
      </c>
      <c r="C1217" s="1" t="s">
        <v>217</v>
      </c>
    </row>
    <row r="1218" spans="1:9">
      <c r="A1218" s="3" t="s">
        <v>218</v>
      </c>
      <c r="B1218" s="25">
        <v>13</v>
      </c>
      <c r="C1218" s="1" t="s">
        <v>219</v>
      </c>
    </row>
    <row r="1219" spans="1:9">
      <c r="A1219" s="3" t="s">
        <v>220</v>
      </c>
      <c r="B1219" s="25">
        <v>0</v>
      </c>
      <c r="C1219" s="1" t="s">
        <v>221</v>
      </c>
    </row>
    <row r="1220" spans="1:9">
      <c r="A1220" s="3" t="s">
        <v>222</v>
      </c>
      <c r="B1220" s="4" t="str">
        <f>IF(B1219=1,"RECHAZAR","NO")</f>
        <v>NO</v>
      </c>
      <c r="C1220" s="1" t="s">
        <v>223</v>
      </c>
    </row>
    <row r="1221" spans="1:9">
      <c r="A1221" s="3" t="s">
        <v>224</v>
      </c>
      <c r="B1221" s="65">
        <v>5592</v>
      </c>
      <c r="C1221" s="1" t="s">
        <v>225</v>
      </c>
    </row>
    <row r="1222" spans="1:9">
      <c r="A1222" s="3" t="s">
        <v>226</v>
      </c>
      <c r="B1222" s="323" t="str">
        <f>IF(B1221&gt;1500,"ALERTA CONCENTRACION","OK")</f>
        <v>ALERTA CONCENTRACION</v>
      </c>
      <c r="C1222" s="1" t="s">
        <v>227</v>
      </c>
    </row>
    <row r="1223" spans="1:9">
      <c r="A1223" s="443" t="s">
        <v>403</v>
      </c>
      <c r="B1223" s="66">
        <v>7.0000000000000007E-2</v>
      </c>
      <c r="C1223" s="1" t="s">
        <v>229</v>
      </c>
    </row>
    <row r="1224" spans="1:9">
      <c r="A1224" s="3" t="s">
        <v>230</v>
      </c>
      <c r="B1224" s="66">
        <v>0</v>
      </c>
      <c r="C1224" s="1" t="s">
        <v>231</v>
      </c>
    </row>
    <row r="1225" spans="1:9">
      <c r="A1225" s="3" t="s">
        <v>232</v>
      </c>
      <c r="B1225" s="67">
        <v>0.16</v>
      </c>
      <c r="C1225" s="1" t="s">
        <v>233</v>
      </c>
    </row>
    <row r="1226" spans="1:9">
      <c r="A1226" s="3" t="s">
        <v>234</v>
      </c>
      <c r="B1226" s="68" t="str">
        <f>IF(B1225&gt;0.2,"ALERTA","OK")</f>
        <v>OK</v>
      </c>
      <c r="C1226" s="1" t="s">
        <v>177</v>
      </c>
    </row>
    <row r="1227" spans="1:9">
      <c r="A1227" s="3" t="s">
        <v>235</v>
      </c>
      <c r="B1227" s="69"/>
      <c r="C1227" s="1" t="s">
        <v>372</v>
      </c>
      <c r="I1227" t="s">
        <v>373</v>
      </c>
    </row>
    <row r="1228" spans="1:9">
      <c r="A1228" s="3" t="s">
        <v>236</v>
      </c>
      <c r="B1228" s="68" t="str">
        <f>IF(B1227&gt;175,"NO",IF(B1227="","Sin Buró","RECHAZAR"))</f>
        <v>Sin Buró</v>
      </c>
      <c r="C1228" s="1" t="s">
        <v>177</v>
      </c>
    </row>
    <row r="1229" spans="1:9" ht="14.65" thickBot="1">
      <c r="A1229" s="6" t="s">
        <v>237</v>
      </c>
      <c r="B1229" s="380" t="str">
        <f>IF(AND(B1225&gt;0.1, B1214&gt;0.5, B1221&gt;3500),"Fachada RECHAZAR","NO FACHADA")</f>
        <v>NO FACHADA</v>
      </c>
      <c r="C1229" s="1" t="s">
        <v>238</v>
      </c>
    </row>
    <row r="1230" spans="1:9" ht="14.65" thickBot="1">
      <c r="A1230" s="3" t="s">
        <v>239</v>
      </c>
      <c r="B1230" s="69">
        <v>561</v>
      </c>
    </row>
    <row r="1231" spans="1:9" ht="14.65" thickBot="1">
      <c r="A1231" s="412" t="s">
        <v>240</v>
      </c>
      <c r="B1231" s="413"/>
      <c r="C1231" s="56" t="s">
        <v>177</v>
      </c>
      <c r="D1231" s="56" t="s">
        <v>178</v>
      </c>
    </row>
    <row r="1232" spans="1:9">
      <c r="A1232" s="16" t="s">
        <v>241</v>
      </c>
      <c r="B1232" s="70">
        <f>777900+0+19712</f>
        <v>797612</v>
      </c>
      <c r="D1232" s="1" t="s">
        <v>242</v>
      </c>
    </row>
    <row r="1233" spans="1:13">
      <c r="A1233" s="3" t="s">
        <v>243</v>
      </c>
      <c r="B1233" s="71">
        <v>42000</v>
      </c>
      <c r="D1233" s="1" t="s">
        <v>244</v>
      </c>
    </row>
    <row r="1234" spans="1:13">
      <c r="A1234" s="3" t="s">
        <v>245</v>
      </c>
      <c r="B1234" s="71">
        <v>167650.85999999999</v>
      </c>
      <c r="D1234" s="1" t="s">
        <v>245</v>
      </c>
    </row>
    <row r="1235" spans="1:13">
      <c r="A1235" s="3" t="s">
        <v>246</v>
      </c>
      <c r="B1235" s="251">
        <f>B1232-B1233</f>
        <v>755612</v>
      </c>
      <c r="D1235" s="1" t="s">
        <v>247</v>
      </c>
    </row>
    <row r="1236" spans="1:13">
      <c r="A1236" s="3" t="s">
        <v>248</v>
      </c>
      <c r="B1236" s="25">
        <v>48</v>
      </c>
    </row>
    <row r="1237" spans="1:13">
      <c r="A1237" s="3" t="s">
        <v>83</v>
      </c>
      <c r="B1237" s="72">
        <f>+IF(B1236&lt;24,30.2%,IF(B1236&lt;36,26%,IF(B1236&lt;48,24.55%,IF(B1236&lt;60,23.82%,"0%"))))</f>
        <v>0.2382</v>
      </c>
      <c r="D1237" s="73"/>
    </row>
    <row r="1238" spans="1:13">
      <c r="A1238" s="3" t="s">
        <v>249</v>
      </c>
      <c r="B1238" s="216">
        <f>+PMT(B1237/12,B1236,-B1235,B1234)</f>
        <v>22438.020707888092</v>
      </c>
      <c r="C1238" s="2" t="str">
        <f>IF(B1239/B1238&gt;2,"Bien",IF(B1239/B1238&gt;1.5,"Ok",IF(B1239/B1238&gt;1.2,"Alerta","Le falta Flujo")))</f>
        <v>Ok</v>
      </c>
      <c r="D1238" s="1" t="s">
        <v>250</v>
      </c>
    </row>
    <row r="1239" spans="1:13">
      <c r="A1239" s="3" t="s">
        <v>189</v>
      </c>
      <c r="B1239" s="216">
        <f>B1200</f>
        <v>41141.620916666674</v>
      </c>
      <c r="C1239" s="2" t="str">
        <f>IF(B1200/B1238&gt;2,"Buen Flujo",IF(B1200/B1238&gt;1.5,"Ok Flujo",IF(B1200/B1238&gt;1.1,"Flujo muy Justo","Flujo Insuficiente")))</f>
        <v>Ok Flujo</v>
      </c>
      <c r="D1239" s="1" t="s">
        <v>251</v>
      </c>
    </row>
    <row r="1240" spans="1:13">
      <c r="A1240" s="3" t="s">
        <v>252</v>
      </c>
      <c r="B1240" s="364">
        <f>+(B1239/B1238)</f>
        <v>1.8335672942044896</v>
      </c>
      <c r="C1240" s="2" t="str">
        <f>+IF(B1240&gt;1.5,"Comodo",IF(B1240&gt;1.1,"Aceptable",IF(B1240&lt;1.1,"Rechazo")))</f>
        <v>Comodo</v>
      </c>
      <c r="D1240" t="s">
        <v>374</v>
      </c>
    </row>
    <row r="1241" spans="1:13">
      <c r="A1241" s="3" t="s">
        <v>253</v>
      </c>
      <c r="B1241" s="289">
        <f>IF(B1236&lt;=24,$B$584,IF(B1236&lt;=36,$B$585,IF(B1236&lt;=48,$B$586,$B$587)))</f>
        <v>2.5</v>
      </c>
      <c r="D1241" t="s">
        <v>254</v>
      </c>
    </row>
    <row r="1242" spans="1:13">
      <c r="A1242" s="3" t="s">
        <v>255</v>
      </c>
      <c r="B1242" s="365"/>
      <c r="C1242" s="4" t="str">
        <f>IF(B1240&gt;B1241,"Suficiente",IF(B1240&lt;1,"Negativo","AVAL"))</f>
        <v>AVAL</v>
      </c>
      <c r="D1242" t="s">
        <v>256</v>
      </c>
    </row>
    <row r="1243" spans="1:13">
      <c r="A1243" s="3" t="s">
        <v>257</v>
      </c>
      <c r="B1243" s="72">
        <f>+B1232/SUM(D1177:O1177)</f>
        <v>0.13100818395122416</v>
      </c>
      <c r="C1243" s="2" t="str">
        <f>IF(B1243&lt;0.1,"Excelente",IF(B1243&lt;0.2,"Bien",IF(B1243&lt;0.3,"Ok",IF(B1243&lt;0.6,"Revisar",IF(B1243&lt;0.9,"Alerta","Sobrepasado")))))</f>
        <v>Bien</v>
      </c>
      <c r="D1243" t="s">
        <v>375</v>
      </c>
    </row>
    <row r="1244" spans="1:13">
      <c r="A1244" s="3" t="s">
        <v>258</v>
      </c>
      <c r="B1244" s="216">
        <f>B1239/B1241</f>
        <v>16456.648366666668</v>
      </c>
      <c r="C1244" s="74" t="str">
        <f>IF(B1244/B1238&gt;4,"Ok",IF(B1244/B1238&gt;2,"OK",IF((B1244/B1238)&gt;1.2,"Renta con Riesgo",IF(B1244/B1238&lt;1.1,"No Otorgar"))))</f>
        <v>No Otorgar</v>
      </c>
      <c r="D1244" t="s">
        <v>259</v>
      </c>
      <c r="G1244">
        <f>+B1244/B1238</f>
        <v>0.7334269176817958</v>
      </c>
    </row>
    <row r="1245" spans="1:13" ht="14.65" thickBot="1">
      <c r="A1245" s="6" t="s">
        <v>260</v>
      </c>
      <c r="B1245" s="367">
        <f>IF(B1239&lt;0, 0, PV(B1237/12,B1236,-B1244))</f>
        <v>506320.94246325741</v>
      </c>
      <c r="C1245" s="2" t="str">
        <f>+IF(B1245/B1232&gt;1,"Otorgar",IF(B1245/B1232&gt;0.75,"Revision","No Otorgar"))</f>
        <v>No Otorgar</v>
      </c>
      <c r="D1245" t="s">
        <v>261</v>
      </c>
    </row>
    <row r="1246" spans="1:13" ht="14.65" thickBot="1"/>
    <row r="1247" spans="1:13">
      <c r="A1247" s="47" t="s">
        <v>262</v>
      </c>
      <c r="B1247" s="48" t="s">
        <v>263</v>
      </c>
    </row>
    <row r="1248" spans="1:13">
      <c r="A1248" s="24" t="s">
        <v>264</v>
      </c>
      <c r="B1248" s="25">
        <v>0.7</v>
      </c>
      <c r="M1248" t="s">
        <v>265</v>
      </c>
    </row>
    <row r="1249" spans="1:4">
      <c r="A1249" s="24" t="s">
        <v>80</v>
      </c>
      <c r="B1249" s="25">
        <v>3</v>
      </c>
      <c r="D1249" t="s">
        <v>254</v>
      </c>
    </row>
    <row r="1250" spans="1:4">
      <c r="A1250" s="24" t="s">
        <v>85</v>
      </c>
      <c r="B1250" s="25">
        <v>2.75</v>
      </c>
      <c r="D1250" t="s">
        <v>254</v>
      </c>
    </row>
    <row r="1251" spans="1:4">
      <c r="A1251" s="24" t="s">
        <v>87</v>
      </c>
      <c r="B1251" s="25">
        <v>2.5</v>
      </c>
      <c r="D1251" t="s">
        <v>254</v>
      </c>
    </row>
    <row r="1252" spans="1:4">
      <c r="A1252" s="24" t="s">
        <v>88</v>
      </c>
      <c r="B1252" s="25">
        <v>2.25</v>
      </c>
      <c r="D1252" t="s">
        <v>254</v>
      </c>
    </row>
    <row r="1253" spans="1:4">
      <c r="A1253" s="24" t="s">
        <v>266</v>
      </c>
      <c r="B1253" s="25">
        <v>6</v>
      </c>
      <c r="D1253" t="s">
        <v>267</v>
      </c>
    </row>
    <row r="1254" spans="1:4">
      <c r="A1254" s="24" t="s">
        <v>268</v>
      </c>
      <c r="B1254" s="25">
        <v>-10</v>
      </c>
      <c r="D1254" t="s">
        <v>269</v>
      </c>
    </row>
    <row r="1255" spans="1:4" ht="14.65" thickBot="1">
      <c r="A1255" s="50" t="s">
        <v>270</v>
      </c>
      <c r="B1255" s="75">
        <v>-30</v>
      </c>
      <c r="D1255" t="s">
        <v>271</v>
      </c>
    </row>
  </sheetData>
  <mergeCells count="110">
    <mergeCell ref="M348:N348"/>
    <mergeCell ref="M433:N433"/>
    <mergeCell ref="M518:N518"/>
    <mergeCell ref="A1174:E1174"/>
    <mergeCell ref="B427:B431"/>
    <mergeCell ref="E433:F433"/>
    <mergeCell ref="A396:B396"/>
    <mergeCell ref="I552:M552"/>
    <mergeCell ref="I553:M553"/>
    <mergeCell ref="I554:M554"/>
    <mergeCell ref="I555:M555"/>
    <mergeCell ref="I556:M556"/>
    <mergeCell ref="I557:M557"/>
    <mergeCell ref="I558:M558"/>
    <mergeCell ref="I559:M559"/>
    <mergeCell ref="E614:F614"/>
    <mergeCell ref="B595:B599"/>
    <mergeCell ref="I348:J348"/>
    <mergeCell ref="I354:J354"/>
    <mergeCell ref="I433:J433"/>
    <mergeCell ref="I439:J439"/>
    <mergeCell ref="E525:F525"/>
    <mergeCell ref="B512:B516"/>
    <mergeCell ref="E518:F518"/>
    <mergeCell ref="E1183:F1183"/>
    <mergeCell ref="I580:M580"/>
    <mergeCell ref="M583:M591"/>
    <mergeCell ref="C466:D466"/>
    <mergeCell ref="A481:B481"/>
    <mergeCell ref="I573:M573"/>
    <mergeCell ref="I574:M574"/>
    <mergeCell ref="I576:M576"/>
    <mergeCell ref="I577:M577"/>
    <mergeCell ref="L529:M529"/>
    <mergeCell ref="I567:M567"/>
    <mergeCell ref="I568:M568"/>
    <mergeCell ref="I569:M569"/>
    <mergeCell ref="I570:M570"/>
    <mergeCell ref="I571:M571"/>
    <mergeCell ref="I572:M572"/>
    <mergeCell ref="I561:M561"/>
    <mergeCell ref="F562:J562"/>
    <mergeCell ref="I563:M563"/>
    <mergeCell ref="I564:M564"/>
    <mergeCell ref="D566:E566"/>
    <mergeCell ref="I560:M560"/>
    <mergeCell ref="E531:F531"/>
    <mergeCell ref="C551:D551"/>
    <mergeCell ref="I518:J518"/>
    <mergeCell ref="I524:J524"/>
    <mergeCell ref="E440:F440"/>
    <mergeCell ref="I579:M579"/>
    <mergeCell ref="E355:F355"/>
    <mergeCell ref="C381:D381"/>
    <mergeCell ref="A566:B566"/>
    <mergeCell ref="A649:B649"/>
    <mergeCell ref="D649:E649"/>
    <mergeCell ref="I639:M639"/>
    <mergeCell ref="I640:M640"/>
    <mergeCell ref="I641:M641"/>
    <mergeCell ref="I642:M642"/>
    <mergeCell ref="I643:M643"/>
    <mergeCell ref="C634:D634"/>
    <mergeCell ref="I635:M635"/>
    <mergeCell ref="I636:M636"/>
    <mergeCell ref="I637:M637"/>
    <mergeCell ref="I638:M638"/>
    <mergeCell ref="E601:F601"/>
    <mergeCell ref="I601:J601"/>
    <mergeCell ref="I607:J607"/>
    <mergeCell ref="E608:F608"/>
    <mergeCell ref="L612:M612"/>
    <mergeCell ref="I650:M650"/>
    <mergeCell ref="I651:M651"/>
    <mergeCell ref="I652:M652"/>
    <mergeCell ref="I653:M653"/>
    <mergeCell ref="I654:M654"/>
    <mergeCell ref="I644:M644"/>
    <mergeCell ref="F645:J645"/>
    <mergeCell ref="I646:M646"/>
    <mergeCell ref="I647:M647"/>
    <mergeCell ref="I662:M662"/>
    <mergeCell ref="I663:M663"/>
    <mergeCell ref="A675:E675"/>
    <mergeCell ref="E684:F684"/>
    <mergeCell ref="A759:E759"/>
    <mergeCell ref="I655:M655"/>
    <mergeCell ref="I656:M656"/>
    <mergeCell ref="I657:M657"/>
    <mergeCell ref="I659:M659"/>
    <mergeCell ref="I660:M660"/>
    <mergeCell ref="A1:E1"/>
    <mergeCell ref="E10:F10"/>
    <mergeCell ref="A1008:E1008"/>
    <mergeCell ref="E1017:F1017"/>
    <mergeCell ref="A1091:E1091"/>
    <mergeCell ref="E1100:F1100"/>
    <mergeCell ref="E768:F768"/>
    <mergeCell ref="A842:E842"/>
    <mergeCell ref="E851:F851"/>
    <mergeCell ref="A925:E925"/>
    <mergeCell ref="E934:F934"/>
    <mergeCell ref="A255:E255"/>
    <mergeCell ref="E264:F264"/>
    <mergeCell ref="B342:B346"/>
    <mergeCell ref="E348:F348"/>
    <mergeCell ref="A85:E85"/>
    <mergeCell ref="E94:F94"/>
    <mergeCell ref="A170:E170"/>
    <mergeCell ref="E179:F179"/>
  </mergeCells>
  <dataValidations disablePrompts="1" count="1">
    <dataValidation type="list" allowBlank="1" showInputMessage="1" showErrorMessage="1" sqref="B530 B613" xr:uid="{A2037F60-014F-48A9-B095-E85413749AC6}">
      <formula1>"P. Moral, PFAE"</formula1>
    </dataValidation>
  </dataValidation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E8F6-6F0B-46B9-8DBC-33E4B030166F}">
  <dimension ref="B2:T48"/>
  <sheetViews>
    <sheetView topLeftCell="A13" workbookViewId="0">
      <selection activeCell="E23" sqref="E23"/>
    </sheetView>
  </sheetViews>
  <sheetFormatPr baseColWidth="10" defaultColWidth="11.3984375" defaultRowHeight="14.25"/>
  <cols>
    <col min="1" max="1" width="2.59765625" customWidth="1"/>
    <col min="3" max="3" width="12" bestFit="1" customWidth="1"/>
    <col min="5" max="5" width="5.1328125" customWidth="1"/>
    <col min="6" max="6" width="10" customWidth="1"/>
    <col min="10" max="10" width="8.73046875" customWidth="1"/>
    <col min="11" max="11" width="10.265625" customWidth="1"/>
    <col min="12" max="12" width="9.265625" customWidth="1"/>
    <col min="13" max="13" width="7.1328125" customWidth="1"/>
    <col min="14" max="14" width="3.265625" customWidth="1"/>
    <col min="17" max="17" width="9.86328125" customWidth="1"/>
    <col min="18" max="18" width="8" customWidth="1"/>
    <col min="19" max="19" width="9.1328125" customWidth="1"/>
  </cols>
  <sheetData>
    <row r="2" spans="2:20" ht="14.65" thickBot="1"/>
    <row r="3" spans="2:20" ht="14.65" thickBot="1">
      <c r="B3" s="510" t="s">
        <v>272</v>
      </c>
      <c r="C3" s="511"/>
      <c r="D3" s="512"/>
      <c r="H3" s="507" t="s">
        <v>273</v>
      </c>
      <c r="I3" s="507"/>
      <c r="J3" s="507"/>
      <c r="Q3" s="507" t="s">
        <v>274</v>
      </c>
      <c r="R3" s="507"/>
      <c r="S3" s="507"/>
    </row>
    <row r="4" spans="2:20" ht="14.65" thickBot="1">
      <c r="B4" s="210" t="s">
        <v>40</v>
      </c>
      <c r="C4" t="s">
        <v>275</v>
      </c>
      <c r="D4" s="211"/>
      <c r="I4" s="260" t="s">
        <v>276</v>
      </c>
      <c r="J4" s="258"/>
      <c r="K4" s="260" t="s">
        <v>277</v>
      </c>
      <c r="L4" s="252"/>
    </row>
    <row r="5" spans="2:20" ht="26.65" thickBot="1">
      <c r="B5" s="218">
        <v>610</v>
      </c>
      <c r="C5" s="261">
        <f>IF(B5&gt;=700,1000,
IF(B5&gt;=650,850,
IF(B5&gt;=600,700,
IF(B5&gt;=550,500,
IF(B5&gt;=500,300,IF(B5="",200,100))))))</f>
        <v>700</v>
      </c>
      <c r="D5" s="219" t="str" cm="1">
        <f t="array" ref="D5">IF(B5&gt;=720,"Excelente",
IF(B5&gt;=680,"Muy Bueno",
IF(B5&gt;=640,Bueno,
IF(B5&gt;=600,"NORMAL",
IF(B5&gt;=550,"Riesgoso","Alto Riesgo")))))</f>
        <v>NORMAL</v>
      </c>
      <c r="H5" s="225" t="s">
        <v>278</v>
      </c>
      <c r="I5" s="259" t="s">
        <v>79</v>
      </c>
      <c r="J5" s="226" t="s">
        <v>89</v>
      </c>
      <c r="K5" s="259" t="s">
        <v>79</v>
      </c>
      <c r="L5" s="226" t="s">
        <v>89</v>
      </c>
      <c r="O5" s="193"/>
      <c r="Q5" s="225" t="s">
        <v>278</v>
      </c>
      <c r="R5" s="230" t="s">
        <v>79</v>
      </c>
      <c r="S5" s="226" t="s">
        <v>89</v>
      </c>
    </row>
    <row r="6" spans="2:20" ht="15.75">
      <c r="B6" s="508" t="s">
        <v>279</v>
      </c>
      <c r="C6" s="509"/>
      <c r="D6" s="211"/>
      <c r="F6" s="8" t="s">
        <v>280</v>
      </c>
      <c r="G6" s="240" t="s">
        <v>281</v>
      </c>
      <c r="H6" s="233">
        <f>+SAT!B525</f>
        <v>656</v>
      </c>
      <c r="I6" s="227">
        <v>0.25</v>
      </c>
      <c r="J6" s="209">
        <f>+H6*I6</f>
        <v>164</v>
      </c>
      <c r="K6" s="227">
        <v>0.35</v>
      </c>
      <c r="L6" s="209">
        <f>+H6*K6</f>
        <v>229.6</v>
      </c>
      <c r="O6" s="8" t="s">
        <v>280</v>
      </c>
      <c r="P6" s="240" t="s">
        <v>282</v>
      </c>
      <c r="Q6" s="233">
        <f>+H6</f>
        <v>656</v>
      </c>
      <c r="R6" s="227">
        <v>0.2</v>
      </c>
      <c r="S6" s="236">
        <f>+Q6*R6</f>
        <v>131.20000000000002</v>
      </c>
    </row>
    <row r="7" spans="2:20">
      <c r="B7" s="212" t="s">
        <v>283</v>
      </c>
      <c r="C7" s="5" t="s">
        <v>284</v>
      </c>
      <c r="D7" s="211"/>
      <c r="F7" s="8" t="s">
        <v>285</v>
      </c>
      <c r="G7" s="240" t="s">
        <v>286</v>
      </c>
      <c r="H7" s="234">
        <f>+BANCOS!F512</f>
        <v>337.37207176610502</v>
      </c>
      <c r="I7" s="228">
        <v>0.45</v>
      </c>
      <c r="J7" s="223">
        <f>+H7*I7</f>
        <v>151.81743229474728</v>
      </c>
      <c r="K7" s="228">
        <v>0.45</v>
      </c>
      <c r="L7" s="223">
        <f t="shared" ref="L7:L10" si="0">+H7*K7</f>
        <v>151.81743229474728</v>
      </c>
      <c r="O7" s="8" t="s">
        <v>285</v>
      </c>
      <c r="P7" s="240" t="s">
        <v>286</v>
      </c>
      <c r="Q7" s="234">
        <f>+H7</f>
        <v>337.37207176610502</v>
      </c>
      <c r="R7" s="228">
        <v>0.45</v>
      </c>
      <c r="S7" s="237">
        <f t="shared" ref="S7:S8" si="1">+Q7*R7</f>
        <v>151.81743229474728</v>
      </c>
    </row>
    <row r="8" spans="2:20">
      <c r="B8" s="220" t="s">
        <v>287</v>
      </c>
      <c r="C8" s="11">
        <v>1000</v>
      </c>
      <c r="D8" s="211"/>
      <c r="F8" s="8" t="s">
        <v>288</v>
      </c>
      <c r="G8" s="240" t="s">
        <v>289</v>
      </c>
      <c r="H8" s="234">
        <f>+C5</f>
        <v>700</v>
      </c>
      <c r="I8" s="228">
        <v>0.18</v>
      </c>
      <c r="J8" s="223">
        <f>+H8*I8</f>
        <v>126</v>
      </c>
      <c r="K8" s="228">
        <v>0.18</v>
      </c>
      <c r="L8" s="223">
        <f t="shared" si="0"/>
        <v>126</v>
      </c>
      <c r="O8" s="8" t="s">
        <v>288</v>
      </c>
      <c r="P8" s="240" t="s">
        <v>290</v>
      </c>
      <c r="Q8" s="234">
        <f>+C5</f>
        <v>700</v>
      </c>
      <c r="R8" s="228">
        <v>0.35</v>
      </c>
      <c r="S8" s="237">
        <f t="shared" si="1"/>
        <v>244.99999999999997</v>
      </c>
    </row>
    <row r="9" spans="2:20" ht="14.65" thickBot="1">
      <c r="B9" s="220" t="s">
        <v>291</v>
      </c>
      <c r="C9" s="11">
        <v>850</v>
      </c>
      <c r="D9" s="211"/>
      <c r="G9" s="240" t="s">
        <v>292</v>
      </c>
      <c r="H9" s="234">
        <v>544</v>
      </c>
      <c r="I9" s="228">
        <v>0.1</v>
      </c>
      <c r="J9" s="223">
        <f>+H9*I9</f>
        <v>54.400000000000006</v>
      </c>
      <c r="K9" s="228">
        <v>0</v>
      </c>
      <c r="L9" s="223">
        <f t="shared" si="0"/>
        <v>0</v>
      </c>
      <c r="O9" s="8"/>
      <c r="Q9" s="235"/>
      <c r="R9" s="229"/>
      <c r="S9" s="238"/>
    </row>
    <row r="10" spans="2:20" ht="14.65" thickBot="1">
      <c r="B10" s="220" t="s">
        <v>293</v>
      </c>
      <c r="C10" s="11">
        <v>700</v>
      </c>
      <c r="D10" s="211"/>
      <c r="G10" s="8" t="s">
        <v>294</v>
      </c>
      <c r="H10" s="235">
        <f>+L39</f>
        <v>620</v>
      </c>
      <c r="I10" s="229">
        <v>0.02</v>
      </c>
      <c r="J10" s="232">
        <f>+H10*I10</f>
        <v>12.4</v>
      </c>
      <c r="K10" s="229">
        <v>0.02</v>
      </c>
      <c r="L10" s="232">
        <f t="shared" si="0"/>
        <v>12.4</v>
      </c>
      <c r="Q10" s="224"/>
      <c r="R10" s="229">
        <f>+SUM(R6:R9)</f>
        <v>1</v>
      </c>
      <c r="S10" s="239">
        <f>SUM(S6:S9)</f>
        <v>528.01743229474732</v>
      </c>
    </row>
    <row r="11" spans="2:20" ht="14.65" thickBot="1">
      <c r="B11" s="220" t="s">
        <v>295</v>
      </c>
      <c r="C11" s="11">
        <v>500</v>
      </c>
      <c r="D11" s="211"/>
      <c r="H11" s="224"/>
      <c r="I11" s="229">
        <f>+SUM(I6:I10)</f>
        <v>0.99999999999999989</v>
      </c>
      <c r="J11" s="231">
        <f>SUM(J6:J10)</f>
        <v>508.61743229474723</v>
      </c>
      <c r="K11" s="229">
        <f>+SUM(K6:K10)</f>
        <v>1</v>
      </c>
      <c r="L11" s="231">
        <f>SUM(L6:L10)</f>
        <v>519.81743229474728</v>
      </c>
    </row>
    <row r="12" spans="2:20">
      <c r="B12" s="220" t="s">
        <v>296</v>
      </c>
      <c r="C12" s="11">
        <v>300</v>
      </c>
      <c r="D12" s="211"/>
    </row>
    <row r="13" spans="2:20">
      <c r="B13" s="221" t="s">
        <v>297</v>
      </c>
      <c r="C13" s="222">
        <v>100</v>
      </c>
      <c r="D13" s="213"/>
      <c r="H13" s="513" t="s">
        <v>298</v>
      </c>
      <c r="I13" s="513"/>
      <c r="J13" s="513"/>
      <c r="K13" s="513"/>
      <c r="L13" s="513"/>
      <c r="Q13" s="513" t="s">
        <v>299</v>
      </c>
      <c r="R13" s="513"/>
      <c r="S13" s="513"/>
      <c r="T13" s="513"/>
    </row>
    <row r="14" spans="2:20">
      <c r="H14" s="513"/>
      <c r="I14" s="513"/>
      <c r="J14" s="513"/>
      <c r="K14" s="513"/>
      <c r="L14" s="513"/>
      <c r="Q14" s="513"/>
      <c r="R14" s="513"/>
      <c r="S14" s="513"/>
      <c r="T14" s="513"/>
    </row>
    <row r="15" spans="2:20">
      <c r="H15" s="513"/>
      <c r="I15" s="513"/>
      <c r="J15" s="513"/>
      <c r="K15" s="513"/>
      <c r="L15" s="513"/>
    </row>
    <row r="18" spans="7:13">
      <c r="H18" s="507" t="s">
        <v>294</v>
      </c>
      <c r="I18" s="507"/>
      <c r="J18" s="507"/>
      <c r="L18" s="490" t="s">
        <v>300</v>
      </c>
      <c r="M18" s="490"/>
    </row>
    <row r="19" spans="7:13">
      <c r="I19" s="2" t="s">
        <v>301</v>
      </c>
      <c r="J19" s="2" t="s">
        <v>302</v>
      </c>
      <c r="L19" s="340" t="s">
        <v>301</v>
      </c>
      <c r="M19" s="341" t="s">
        <v>302</v>
      </c>
    </row>
    <row r="20" spans="7:13">
      <c r="G20" s="2">
        <v>1</v>
      </c>
      <c r="H20" s="329" t="s">
        <v>303</v>
      </c>
      <c r="I20" s="330">
        <v>5</v>
      </c>
      <c r="J20" s="331">
        <v>0</v>
      </c>
      <c r="L20" s="332">
        <v>5</v>
      </c>
      <c r="M20" s="333"/>
    </row>
    <row r="21" spans="7:13">
      <c r="G21" s="2">
        <v>2</v>
      </c>
      <c r="H21" s="332" t="s">
        <v>304</v>
      </c>
      <c r="I21" s="2">
        <v>10</v>
      </c>
      <c r="J21" s="333">
        <v>0</v>
      </c>
      <c r="L21" s="332">
        <v>10</v>
      </c>
      <c r="M21" s="333"/>
    </row>
    <row r="22" spans="7:13">
      <c r="G22" s="2">
        <v>3</v>
      </c>
      <c r="H22" s="332" t="s">
        <v>304</v>
      </c>
      <c r="I22" s="2">
        <v>5</v>
      </c>
      <c r="J22" s="333">
        <v>0</v>
      </c>
      <c r="L22" s="332"/>
      <c r="M22" s="333">
        <v>0</v>
      </c>
    </row>
    <row r="23" spans="7:13">
      <c r="G23" s="2">
        <v>4</v>
      </c>
      <c r="H23" s="332" t="s">
        <v>304</v>
      </c>
      <c r="I23" s="2">
        <v>5</v>
      </c>
      <c r="J23" s="333">
        <v>0</v>
      </c>
      <c r="L23" s="332">
        <v>5</v>
      </c>
      <c r="M23" s="333"/>
    </row>
    <row r="24" spans="7:13">
      <c r="G24" s="2">
        <v>5</v>
      </c>
      <c r="H24" s="334" t="s">
        <v>304</v>
      </c>
      <c r="I24" s="335">
        <v>5</v>
      </c>
      <c r="J24" s="338">
        <v>0</v>
      </c>
      <c r="K24" s="339">
        <v>30</v>
      </c>
      <c r="L24" s="332"/>
      <c r="M24" s="333">
        <v>0</v>
      </c>
    </row>
    <row r="25" spans="7:13">
      <c r="G25" s="2"/>
      <c r="I25" s="2"/>
      <c r="L25" s="332"/>
      <c r="M25" s="333"/>
    </row>
    <row r="26" spans="7:13">
      <c r="G26" s="2">
        <v>6</v>
      </c>
      <c r="H26" s="329" t="s">
        <v>304</v>
      </c>
      <c r="I26" s="330">
        <v>5</v>
      </c>
      <c r="J26" s="331">
        <v>0</v>
      </c>
      <c r="L26" s="332"/>
      <c r="M26" s="333">
        <v>0</v>
      </c>
    </row>
    <row r="27" spans="7:13">
      <c r="G27" s="2">
        <v>7</v>
      </c>
      <c r="H27" s="332" t="s">
        <v>304</v>
      </c>
      <c r="I27" s="2">
        <v>10</v>
      </c>
      <c r="J27" s="333">
        <v>0</v>
      </c>
      <c r="L27" s="332">
        <v>10</v>
      </c>
      <c r="M27" s="333"/>
    </row>
    <row r="28" spans="7:13">
      <c r="G28" s="2">
        <v>8</v>
      </c>
      <c r="H28" s="332" t="s">
        <v>304</v>
      </c>
      <c r="I28" s="2">
        <v>5</v>
      </c>
      <c r="J28" s="333">
        <v>0</v>
      </c>
      <c r="L28" s="332">
        <v>5</v>
      </c>
      <c r="M28" s="333"/>
    </row>
    <row r="29" spans="7:13">
      <c r="G29" s="2">
        <v>9</v>
      </c>
      <c r="H29" s="334" t="s">
        <v>304</v>
      </c>
      <c r="I29" s="335">
        <v>10</v>
      </c>
      <c r="J29" s="338">
        <v>0</v>
      </c>
      <c r="K29" s="339">
        <v>30</v>
      </c>
      <c r="L29" s="332"/>
      <c r="M29" s="333">
        <v>0</v>
      </c>
    </row>
    <row r="30" spans="7:13">
      <c r="G30" s="2"/>
      <c r="I30" s="2"/>
      <c r="L30" s="332"/>
      <c r="M30" s="333"/>
    </row>
    <row r="31" spans="7:13">
      <c r="G31" s="2">
        <v>10</v>
      </c>
      <c r="H31" s="329" t="s">
        <v>304</v>
      </c>
      <c r="I31" s="330">
        <v>10</v>
      </c>
      <c r="J31" s="331">
        <v>0</v>
      </c>
      <c r="L31" s="332">
        <v>10</v>
      </c>
      <c r="M31" s="333"/>
    </row>
    <row r="32" spans="7:13">
      <c r="G32" s="2">
        <v>11</v>
      </c>
      <c r="H32" s="332" t="s">
        <v>304</v>
      </c>
      <c r="I32" s="2">
        <v>10</v>
      </c>
      <c r="J32" s="333">
        <v>0</v>
      </c>
      <c r="L32" s="332"/>
      <c r="M32" s="333">
        <v>0</v>
      </c>
    </row>
    <row r="33" spans="3:13">
      <c r="G33" s="2">
        <v>12</v>
      </c>
      <c r="H33" s="334" t="s">
        <v>304</v>
      </c>
      <c r="I33" s="335">
        <v>10</v>
      </c>
      <c r="J33" s="338">
        <v>0</v>
      </c>
      <c r="K33" s="339">
        <v>30</v>
      </c>
      <c r="L33" s="332">
        <v>10</v>
      </c>
      <c r="M33" s="333"/>
    </row>
    <row r="34" spans="3:13">
      <c r="G34" s="2"/>
      <c r="L34" s="332"/>
      <c r="M34" s="333"/>
    </row>
    <row r="35" spans="3:13">
      <c r="G35" s="2">
        <v>13</v>
      </c>
      <c r="H35" s="329" t="s">
        <v>305</v>
      </c>
      <c r="I35" s="337"/>
      <c r="J35" s="331" t="s">
        <v>306</v>
      </c>
      <c r="L35" s="332">
        <v>3</v>
      </c>
      <c r="M35" s="333"/>
    </row>
    <row r="36" spans="3:13">
      <c r="C36" s="376"/>
      <c r="G36" s="2">
        <v>14</v>
      </c>
      <c r="H36" s="334" t="s">
        <v>305</v>
      </c>
      <c r="I36" s="338"/>
      <c r="J36" s="338" t="s">
        <v>307</v>
      </c>
      <c r="K36" s="339">
        <v>10</v>
      </c>
      <c r="L36" s="332">
        <v>4</v>
      </c>
      <c r="M36" s="333"/>
    </row>
    <row r="37" spans="3:13">
      <c r="L37" s="329"/>
      <c r="M37" s="331"/>
    </row>
    <row r="38" spans="3:13">
      <c r="D38" s="17"/>
      <c r="K38">
        <f>SUM(K24:K36)</f>
        <v>100</v>
      </c>
      <c r="L38" s="332">
        <v>62</v>
      </c>
      <c r="M38" s="333"/>
    </row>
    <row r="39" spans="3:13">
      <c r="D39" s="328"/>
      <c r="K39">
        <f>+K38*10</f>
        <v>1000</v>
      </c>
      <c r="L39" s="334">
        <f>+L38*10</f>
        <v>620</v>
      </c>
      <c r="M39" s="336"/>
    </row>
    <row r="40" spans="3:13">
      <c r="D40" s="17"/>
    </row>
    <row r="41" spans="3:13">
      <c r="D41" s="328"/>
    </row>
    <row r="42" spans="3:13">
      <c r="D42" s="328"/>
    </row>
    <row r="43" spans="3:13">
      <c r="D43" s="328"/>
    </row>
    <row r="44" spans="3:13">
      <c r="D44" s="328"/>
    </row>
    <row r="45" spans="3:13">
      <c r="D45" s="328"/>
    </row>
    <row r="46" spans="3:13">
      <c r="D46" s="328"/>
    </row>
    <row r="47" spans="3:13">
      <c r="D47" s="328"/>
    </row>
    <row r="48" spans="3:13">
      <c r="D48" s="328"/>
    </row>
  </sheetData>
  <mergeCells count="8">
    <mergeCell ref="Q3:S3"/>
    <mergeCell ref="H13:L15"/>
    <mergeCell ref="Q13:T14"/>
    <mergeCell ref="H18:J18"/>
    <mergeCell ref="L18:M18"/>
    <mergeCell ref="B6:C6"/>
    <mergeCell ref="B3:D3"/>
    <mergeCell ref="H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EAED-EAA2-4F55-811F-2FE16C7608FA}">
  <dimension ref="A1:AF1003"/>
  <sheetViews>
    <sheetView topLeftCell="A11" zoomScale="130" zoomScaleNormal="130" workbookViewId="0">
      <selection activeCell="F16" sqref="F16"/>
    </sheetView>
  </sheetViews>
  <sheetFormatPr baseColWidth="10" defaultColWidth="14.3984375" defaultRowHeight="15" customHeight="1"/>
  <cols>
    <col min="1" max="1" width="2.86328125" style="77" customWidth="1"/>
    <col min="2" max="2" width="9" style="77" customWidth="1"/>
    <col min="3" max="5" width="8.3984375" style="77" bestFit="1" customWidth="1"/>
    <col min="6" max="6" width="9.86328125" style="77" bestFit="1" customWidth="1"/>
    <col min="7" max="7" width="11.1328125" style="77" bestFit="1" customWidth="1"/>
    <col min="8" max="8" width="7.265625" style="77" customWidth="1"/>
    <col min="9" max="9" width="9" style="77" bestFit="1" customWidth="1"/>
    <col min="10" max="10" width="10.1328125" style="77" bestFit="1" customWidth="1"/>
    <col min="11" max="11" width="8.3984375" style="77" customWidth="1"/>
    <col min="12" max="12" width="4.265625" style="77" bestFit="1" customWidth="1"/>
    <col min="13" max="13" width="7.265625" style="77" customWidth="1"/>
    <col min="14" max="15" width="9.59765625" style="77" bestFit="1" customWidth="1"/>
    <col min="16" max="17" width="11" style="77" bestFit="1" customWidth="1"/>
    <col min="18" max="18" width="7.265625" style="77" customWidth="1"/>
    <col min="19" max="21" width="12" style="77" customWidth="1"/>
    <col min="22" max="22" width="11.59765625" style="77" customWidth="1"/>
    <col min="23" max="23" width="5.59765625" style="77" customWidth="1"/>
    <col min="24" max="27" width="11.3984375" style="77" customWidth="1"/>
    <col min="28" max="28" width="5.59765625" style="77" customWidth="1"/>
    <col min="29" max="32" width="11.3984375" style="77" customWidth="1"/>
    <col min="33" max="33" width="5.1328125" style="77" customWidth="1"/>
    <col min="34" max="16384" width="14.3984375" style="77"/>
  </cols>
  <sheetData>
    <row r="1" spans="1:32" ht="18.399999999999999" thickBot="1">
      <c r="A1" s="76"/>
      <c r="B1" s="76"/>
      <c r="C1" s="514" t="s">
        <v>308</v>
      </c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  <c r="Q1" s="515"/>
      <c r="R1" s="515"/>
      <c r="S1" s="515"/>
      <c r="T1" s="515"/>
      <c r="U1" s="515"/>
      <c r="V1" s="515"/>
      <c r="W1" s="515"/>
      <c r="X1" s="515"/>
      <c r="Y1" s="515"/>
      <c r="Z1" s="515"/>
      <c r="AA1" s="515"/>
      <c r="AB1" s="76"/>
      <c r="AC1" s="76"/>
      <c r="AD1" s="76"/>
      <c r="AE1" s="76"/>
      <c r="AF1" s="76"/>
    </row>
    <row r="2" spans="1:32" s="356" customFormat="1" ht="12.75" customHeight="1" thickBot="1">
      <c r="A2" s="133"/>
      <c r="B2" s="133"/>
      <c r="C2" s="516" t="s">
        <v>309</v>
      </c>
      <c r="D2" s="517"/>
      <c r="E2" s="517"/>
      <c r="F2" s="517"/>
      <c r="G2" s="518"/>
      <c r="H2" s="133"/>
      <c r="I2" s="516" t="s">
        <v>310</v>
      </c>
      <c r="J2" s="519"/>
      <c r="K2" s="519"/>
      <c r="L2" s="520"/>
      <c r="M2" s="355"/>
      <c r="N2" s="516" t="s">
        <v>311</v>
      </c>
      <c r="O2" s="519"/>
      <c r="P2" s="519"/>
      <c r="Q2" s="520"/>
      <c r="R2" s="355"/>
      <c r="S2" s="516" t="s">
        <v>312</v>
      </c>
      <c r="T2" s="519"/>
      <c r="U2" s="519"/>
      <c r="V2" s="520"/>
      <c r="W2" s="133"/>
      <c r="X2" s="516" t="s">
        <v>313</v>
      </c>
      <c r="Y2" s="519"/>
      <c r="Z2" s="519"/>
      <c r="AA2" s="520"/>
      <c r="AB2" s="133"/>
      <c r="AC2" s="516" t="s">
        <v>314</v>
      </c>
      <c r="AD2" s="519"/>
      <c r="AE2" s="519"/>
      <c r="AF2" s="520"/>
    </row>
    <row r="3" spans="1:32" s="356" customFormat="1" ht="12.75" customHeight="1" thickBot="1">
      <c r="A3" s="133"/>
      <c r="B3" s="133"/>
      <c r="C3" s="516" t="s">
        <v>315</v>
      </c>
      <c r="D3" s="517"/>
      <c r="E3" s="517"/>
      <c r="F3" s="517"/>
      <c r="G3" s="518"/>
      <c r="H3" s="133"/>
      <c r="I3" s="516"/>
      <c r="J3" s="519"/>
      <c r="K3" s="519"/>
      <c r="L3" s="520"/>
      <c r="M3" s="355"/>
      <c r="N3" s="516"/>
      <c r="O3" s="519"/>
      <c r="P3" s="519"/>
      <c r="Q3" s="520"/>
      <c r="R3" s="355"/>
      <c r="S3" s="516" t="s">
        <v>316</v>
      </c>
      <c r="T3" s="519"/>
      <c r="U3" s="519"/>
      <c r="V3" s="520"/>
      <c r="W3" s="133"/>
      <c r="X3" s="516" t="s">
        <v>317</v>
      </c>
      <c r="Y3" s="519"/>
      <c r="Z3" s="519"/>
      <c r="AA3" s="520"/>
      <c r="AB3" s="133"/>
      <c r="AC3" s="516" t="s">
        <v>81</v>
      </c>
      <c r="AD3" s="519"/>
      <c r="AE3" s="519"/>
      <c r="AF3" s="520"/>
    </row>
    <row r="4" spans="1:32" s="19" customFormat="1" ht="12.75" customHeight="1" thickBot="1">
      <c r="A4" s="342"/>
      <c r="B4" s="342"/>
      <c r="C4" s="343" t="s">
        <v>318</v>
      </c>
      <c r="D4" s="344">
        <v>250000</v>
      </c>
      <c r="E4" s="344">
        <v>500000</v>
      </c>
      <c r="F4" s="345">
        <v>1000000</v>
      </c>
      <c r="G4" s="346" t="s">
        <v>319</v>
      </c>
      <c r="H4" s="347"/>
      <c r="I4" s="343" t="s">
        <v>320</v>
      </c>
      <c r="J4" s="348"/>
      <c r="K4" s="348"/>
      <c r="L4" s="349"/>
      <c r="M4" s="347"/>
      <c r="N4" s="343" t="s">
        <v>320</v>
      </c>
      <c r="O4" s="348"/>
      <c r="P4" s="348"/>
      <c r="Q4" s="349"/>
      <c r="R4" s="347"/>
      <c r="S4" s="344">
        <v>100000</v>
      </c>
      <c r="T4" s="344">
        <v>250000</v>
      </c>
      <c r="U4" s="344">
        <v>500000</v>
      </c>
      <c r="V4" s="345">
        <v>5000000</v>
      </c>
      <c r="W4" s="349"/>
      <c r="X4" s="350">
        <v>0.25</v>
      </c>
      <c r="Y4" s="351">
        <v>0.35</v>
      </c>
      <c r="Z4" s="351">
        <v>0.5</v>
      </c>
      <c r="AA4" s="352">
        <v>5</v>
      </c>
      <c r="AB4" s="347"/>
      <c r="AC4" s="353">
        <v>12</v>
      </c>
      <c r="AD4" s="353">
        <v>24</v>
      </c>
      <c r="AE4" s="353">
        <v>36</v>
      </c>
      <c r="AF4" s="354">
        <v>94</v>
      </c>
    </row>
    <row r="5" spans="1:32" ht="12.75" customHeight="1">
      <c r="A5" s="326">
        <v>480</v>
      </c>
      <c r="B5" s="76" t="s">
        <v>321</v>
      </c>
      <c r="C5" s="81">
        <f>IF($D$16="Lineal",$D$13+('[3]glosario parametros'!P2*$E$16), $D$13*($E$16^'[3]glosario parametros'!P2))</f>
        <v>1.8205128205128205</v>
      </c>
      <c r="D5" s="82">
        <f>IF($D$16="Lineal",$D$13+('[3]glosario parametros'!Q2*$E$16), $D$13*($E$16^'[3]glosario parametros'!Q2))</f>
        <v>1.6153846153846154</v>
      </c>
      <c r="E5" s="82">
        <f>IF($D$16="Lineal",$D$13+('[3]glosario parametros'!R2*$E$16), $D$13*($E$16^'[3]glosario parametros'!R2))</f>
        <v>1.4102564102564101</v>
      </c>
      <c r="F5" s="82">
        <f>IF($D$16="Lineal",$D$13+('[3]glosario parametros'!S2*$E$16), $D$13*($E$16^'[3]glosario parametros'!S2))</f>
        <v>1.2051282051282051</v>
      </c>
      <c r="G5" s="83">
        <f>IF($D$16="Lineal",$D$13+('[3]glosario parametros'!T2*$E$16), $D$13*($E$16^'[3]glosario parametros'!T2))</f>
        <v>1</v>
      </c>
      <c r="H5" s="76"/>
      <c r="I5" s="84">
        <f t="shared" ref="I5:I10" si="0">I6-$K$16</f>
        <v>4.9999999999999996E-2</v>
      </c>
      <c r="J5" s="85"/>
      <c r="K5" s="85"/>
      <c r="L5" s="86"/>
      <c r="M5" s="87"/>
      <c r="N5" s="84">
        <f t="shared" ref="N5:N10" si="1">N6-$P$16</f>
        <v>0.4</v>
      </c>
      <c r="O5" s="85"/>
      <c r="P5" s="85"/>
      <c r="Q5" s="86"/>
      <c r="R5" s="76">
        <v>480</v>
      </c>
      <c r="S5" s="88">
        <f>IF($T$16="Lineal",$T$13+('[3]glosario parametros'!V2*$U$16), $T$13*($U$16^'[3]glosario parametros'!V2))</f>
        <v>0.01</v>
      </c>
      <c r="T5" s="89">
        <f>IF($T$16="Lineal",$T$13+('[3]glosario parametros'!W2*$U$16), $T$13*($U$16^'[3]glosario parametros'!W2))</f>
        <v>1.6112666307756648E-2</v>
      </c>
      <c r="U5" s="89">
        <f>IF($T$16="Lineal",$T$13+('[3]glosario parametros'!X2*$U$16), $T$13*($U$16^'[3]glosario parametros'!X2))</f>
        <v>2.596180155451162E-2</v>
      </c>
      <c r="V5" s="90">
        <f>IF($T$16="Lineal",$T$13+('[3]glosario parametros'!Y2*$U$16), $T$13*($U$16^'[3]glosario parametros'!Y2))</f>
        <v>4.1831384519604359E-2</v>
      </c>
      <c r="W5" s="76"/>
      <c r="X5" s="91">
        <f>IF($Y$16="Lineal",$Y$13+('[3]glosario parametros'!J2*$Z$16), IF($Y$13=0,$Y$13+0.01,$Y$13)*($Z$16^'[3]glosario parametros'!J2))</f>
        <v>6.9290322580645158E-3</v>
      </c>
      <c r="Y5" s="92">
        <f>IF($Y$16="Lineal",$Y$13+('[3]glosario parametros'!K2*$Z$16), IF($Y$13=0,$Y$13+0.01,$Y$13)*($Z$16^'[3]glosario parametros'!K2))</f>
        <v>1.4619354838709679E-2</v>
      </c>
      <c r="Z5" s="92">
        <f>IF($Y$16="Lineal",$Y$13+('[3]glosario parametros'!L2*$Z$16), IF($Y$13=0,$Y$13+0.01,$Y$13)*($Z$16^'[3]glosario parametros'!L2))</f>
        <v>2.2309677419354839E-2</v>
      </c>
      <c r="AA5" s="93">
        <f>IF($Y$16="Lineal",$Y$13+('[3]glosario parametros'!M2*$Z$16), IF($Y$13=0,$Y$13+0.01,$Y$13)*($Z$16^'[3]glosario parametros'!M2))</f>
        <v>0.03</v>
      </c>
      <c r="AB5" s="76"/>
      <c r="AC5" s="94">
        <f>IF($AD$16="Lineal",$AD$13+('[3]glosario parametros'!J2*$AE$16), IF($AD$13=0,$AD$13+0.01,$AD$13)*($AE$16^'[3]glosario parametros'!J2))</f>
        <v>0.28258064516129033</v>
      </c>
      <c r="AD5" s="94">
        <f>IF($AD$16="Lineal",$AD$13+('[3]glosario parametros'!K2*$AE$16), IF($AD$13=0,$AD$13+0.01,$AD$13)*($AE$16^'[3]glosario parametros'!K2))</f>
        <v>0.30838709677419351</v>
      </c>
      <c r="AE5" s="94">
        <f>IF($AD$16="Lineal",$AD$13+('[3]glosario parametros'!L2*$AE$16), IF($AD$13=0,$AD$13+0.01,$AD$13)*($AE$16^'[3]glosario parametros'!L2))</f>
        <v>0.33419354838709675</v>
      </c>
      <c r="AF5" s="95">
        <f>IF($AD$16="Lineal",$AD$13+('[3]glosario parametros'!M2*$AE$16), IF($AD$13=0,$AD$13+0.01,$AD$13)*($AE$16^'[3]glosario parametros'!M2))</f>
        <v>0.36</v>
      </c>
    </row>
    <row r="6" spans="1:32" ht="12.75" customHeight="1" thickBot="1">
      <c r="A6" s="326">
        <v>550</v>
      </c>
      <c r="B6" s="76" t="s">
        <v>322</v>
      </c>
      <c r="C6" s="96">
        <f>IF($D$16="Lineal",$D$13+('[3]glosario parametros'!P3*$E$16), $D$13*($E$16^'[3]glosario parametros'!P3))</f>
        <v>1.8461538461538463</v>
      </c>
      <c r="D6" s="97">
        <f>IF($D$16="Lineal",$D$13+('[3]glosario parametros'!Q3*$E$16), $D$13*($E$16^'[3]glosario parametros'!Q3))</f>
        <v>1.641025641025641</v>
      </c>
      <c r="E6" s="97">
        <f>IF($D$16="Lineal",$D$13+('[3]glosario parametros'!R3*$E$16), $D$13*($E$16^'[3]glosario parametros'!R3))</f>
        <v>1.4358974358974359</v>
      </c>
      <c r="F6" s="97">
        <f>IF($D$16="Lineal",$D$13+('[3]glosario parametros'!S3*$E$16), $D$13*($E$16^'[3]glosario parametros'!S3))</f>
        <v>1.2307692307692308</v>
      </c>
      <c r="G6" s="98">
        <f>IF($D$16="Lineal",$D$13+('[3]glosario parametros'!T3*$E$16), $D$13*($E$16^'[3]glosario parametros'!T3))</f>
        <v>1.0256410256410255</v>
      </c>
      <c r="H6" s="76"/>
      <c r="I6" s="99">
        <f t="shared" si="0"/>
        <v>4.7142857142857139E-2</v>
      </c>
      <c r="J6" s="100"/>
      <c r="K6" s="100"/>
      <c r="L6" s="101"/>
      <c r="M6" s="87"/>
      <c r="N6" s="99">
        <f t="shared" si="1"/>
        <v>0.34428571428571431</v>
      </c>
      <c r="O6" s="100"/>
      <c r="P6" s="100"/>
      <c r="Q6" s="101"/>
      <c r="R6" s="76">
        <v>550</v>
      </c>
      <c r="S6" s="102">
        <f>IF($T$16="Lineal",$T$13+('[3]glosario parametros'!V3*$U$16), $T$13*($U$16^'[3]glosario parametros'!V3))</f>
        <v>1.0614411652847914E-2</v>
      </c>
      <c r="T6" s="103">
        <f>IF($T$16="Lineal",$T$13+('[3]glosario parametros'!W3*$U$16), $T$13*($U$16^'[3]glosario parametros'!W3))</f>
        <v>1.710264730155021E-2</v>
      </c>
      <c r="U6" s="103">
        <f>IF($T$16="Lineal",$T$13+('[3]glosario parametros'!X3*$U$16), $T$13*($U$16^'[3]glosario parametros'!X3))</f>
        <v>2.7556924894913321E-2</v>
      </c>
      <c r="V6" s="104">
        <f>IF($T$16="Lineal",$T$13+('[3]glosario parametros'!Y3*$U$16), $T$13*($U$16^'[3]glosario parametros'!Y3))</f>
        <v>4.440155352996502E-2</v>
      </c>
      <c r="W6" s="76"/>
      <c r="X6" s="105">
        <f>IF($Y$16="Lineal",$Y$13+('[3]glosario parametros'!J3*$Z$16), IF($Y$13=0,$Y$13+0.01,$Y$13)*($Z$16^'[3]glosario parametros'!J3))</f>
        <v>5.9677419354838704E-3</v>
      </c>
      <c r="Y6" s="106">
        <f>IF($Y$16="Lineal",$Y$13+('[3]glosario parametros'!K3*$Z$16), IF($Y$13=0,$Y$13+0.01,$Y$13)*($Z$16^'[3]glosario parametros'!K3))</f>
        <v>1.3658064516129033E-2</v>
      </c>
      <c r="Z6" s="106">
        <f>IF($Y$16="Lineal",$Y$13+('[3]glosario parametros'!L3*$Z$16), IF($Y$13=0,$Y$13+0.01,$Y$13)*($Z$16^'[3]glosario parametros'!L3))</f>
        <v>2.1348387096774193E-2</v>
      </c>
      <c r="AA6" s="107">
        <f>IF($Y$16="Lineal",$Y$13+('[3]glosario parametros'!M3*$Z$16), IF($Y$13=0,$Y$13+0.01,$Y$13)*($Z$16^'[3]glosario parametros'!M3))</f>
        <v>2.9038709677419356E-2</v>
      </c>
      <c r="AB6" s="76"/>
      <c r="AC6" s="108">
        <f>IF($AD$16="Lineal",$AD$13+('[3]glosario parametros'!J3*$AE$16), IF($AD$13=0,$AD$13+0.01,$AD$13)*($AE$16^'[3]glosario parametros'!J3))</f>
        <v>0.27935483870967742</v>
      </c>
      <c r="AD6" s="108">
        <f>IF($AD$16="Lineal",$AD$13+('[3]glosario parametros'!K3*$AE$16), IF($AD$13=0,$AD$13+0.01,$AD$13)*($AE$16^'[3]glosario parametros'!K3))</f>
        <v>0.30516129032258066</v>
      </c>
      <c r="AE6" s="108">
        <f>IF($AD$16="Lineal",$AD$13+('[3]glosario parametros'!L3*$AE$16), IF($AD$13=0,$AD$13+0.01,$AD$13)*($AE$16^'[3]glosario parametros'!L3))</f>
        <v>0.33096774193548384</v>
      </c>
      <c r="AF6" s="109">
        <f>IF($AD$16="Lineal",$AD$13+('[3]glosario parametros'!M3*$AE$16), IF($AD$13=0,$AD$13+0.01,$AD$13)*($AE$16^'[3]glosario parametros'!M3))</f>
        <v>0.35677419354838708</v>
      </c>
    </row>
    <row r="7" spans="1:32" ht="12.75" customHeight="1" thickBot="1">
      <c r="A7" s="326">
        <v>620</v>
      </c>
      <c r="B7" s="76" t="s">
        <v>323</v>
      </c>
      <c r="C7" s="96">
        <f>IF($D$16="Lineal",$D$13+('[3]glosario parametros'!P4*$E$16), $D$13*($E$16^'[3]glosario parametros'!P4))</f>
        <v>1.8717948717948718</v>
      </c>
      <c r="D7" s="97">
        <f>IF($D$16="Lineal",$D$13+('[3]glosario parametros'!Q4*$E$16), $D$13*($E$16^'[3]glosario parametros'!Q4))</f>
        <v>1.6666666666666665</v>
      </c>
      <c r="E7" s="97">
        <f>IF($D$16="Lineal",$D$13+('[3]glosario parametros'!R4*$E$16), $D$13*($E$16^'[3]glosario parametros'!R4))</f>
        <v>1.4615384615384615</v>
      </c>
      <c r="F7" s="97">
        <f>IF($D$16="Lineal",$D$13+('[3]glosario parametros'!S4*$E$16), $D$13*($E$16^'[3]glosario parametros'!S4))</f>
        <v>1.2564102564102564</v>
      </c>
      <c r="G7" s="98">
        <f>IF($D$16="Lineal",$D$13+('[3]glosario parametros'!T4*$E$16), $D$13*($E$16^'[3]glosario parametros'!T4))</f>
        <v>1.0512820512820513</v>
      </c>
      <c r="H7" s="76"/>
      <c r="I7" s="99">
        <f t="shared" si="0"/>
        <v>4.4285714285714282E-2</v>
      </c>
      <c r="J7" s="100"/>
      <c r="K7" s="100"/>
      <c r="L7" s="101"/>
      <c r="M7" s="87"/>
      <c r="N7" s="99">
        <f t="shared" si="1"/>
        <v>0.28857142857142859</v>
      </c>
      <c r="O7" s="100"/>
      <c r="P7" s="100"/>
      <c r="Q7" s="101"/>
      <c r="R7" s="76">
        <v>620</v>
      </c>
      <c r="S7" s="102">
        <f>IF($T$16="Lineal",$T$13+('[3]glosario parametros'!V4*$U$16), $T$13*($U$16^'[3]glosario parametros'!V4))</f>
        <v>1.1266573473611357E-2</v>
      </c>
      <c r="T7" s="103">
        <f>IF($T$16="Lineal",$T$13+('[3]glosario parametros'!W4*$U$16), $T$13*($U$16^'[3]glosario parametros'!W4))</f>
        <v>1.8153453881212249E-2</v>
      </c>
      <c r="U7" s="103">
        <f>IF($T$16="Lineal",$T$13+('[3]glosario parametros'!X4*$U$16), $T$13*($U$16^'[3]glosario parametros'!X4))</f>
        <v>2.9250054472122269E-2</v>
      </c>
      <c r="V7" s="104">
        <f>IF($T$16="Lineal",$T$13+('[3]glosario parametros'!Y4*$U$16), $T$13*($U$16^'[3]glosario parametros'!Y4))</f>
        <v>4.7129636719301107E-2</v>
      </c>
      <c r="W7" s="76"/>
      <c r="X7" s="105">
        <f>IF($Y$16="Lineal",$Y$13+('[3]glosario parametros'!J4*$Z$16), IF($Y$13=0,$Y$13+0.01,$Y$13)*($Z$16^'[3]glosario parametros'!J4))</f>
        <v>5.0064516129032259E-3</v>
      </c>
      <c r="Y7" s="106">
        <f>IF($Y$16="Lineal",$Y$13+('[3]glosario parametros'!K4*$Z$16), IF($Y$13=0,$Y$13+0.01,$Y$13)*($Z$16^'[3]glosario parametros'!K4))</f>
        <v>1.2696774193548388E-2</v>
      </c>
      <c r="Z7" s="106">
        <f>IF($Y$16="Lineal",$Y$13+('[3]glosario parametros'!L4*$Z$16), IF($Y$13=0,$Y$13+0.01,$Y$13)*($Z$16^'[3]glosario parametros'!L4))</f>
        <v>2.0387096774193546E-2</v>
      </c>
      <c r="AA7" s="107">
        <f>IF($Y$16="Lineal",$Y$13+('[3]glosario parametros'!M4*$Z$16), IF($Y$13=0,$Y$13+0.01,$Y$13)*($Z$16^'[3]glosario parametros'!M4))</f>
        <v>2.807741935483871E-2</v>
      </c>
      <c r="AB7" s="76"/>
      <c r="AC7" s="108">
        <f>IF($AD$16="Lineal",$AD$13+('[3]glosario parametros'!J4*$AE$16), IF($AD$13=0,$AD$13+0.01,$AD$13)*($AE$16^'[3]glosario parametros'!J4))</f>
        <v>0.27612903225806451</v>
      </c>
      <c r="AD7" s="108">
        <f>IF($AD$16="Lineal",$AD$13+('[3]glosario parametros'!K4*$AE$16), IF($AD$13=0,$AD$13+0.01,$AD$13)*($AE$16^'[3]glosario parametros'!K4))</f>
        <v>0.30193548387096775</v>
      </c>
      <c r="AE7" s="108">
        <f>IF($AD$16="Lineal",$AD$13+('[3]glosario parametros'!L4*$AE$16), IF($AD$13=0,$AD$13+0.01,$AD$13)*($AE$16^'[3]glosario parametros'!L4))</f>
        <v>0.32774193548387098</v>
      </c>
      <c r="AF7" s="109">
        <f>IF($AD$16="Lineal",$AD$13+('[3]glosario parametros'!M4*$AE$16), IF($AD$13=0,$AD$13+0.01,$AD$13)*($AE$16^'[3]glosario parametros'!M4))</f>
        <v>0.35354838709677416</v>
      </c>
    </row>
    <row r="8" spans="1:32" ht="12.75" customHeight="1" thickBot="1">
      <c r="A8" s="326">
        <v>690</v>
      </c>
      <c r="B8" s="76" t="s">
        <v>324</v>
      </c>
      <c r="C8" s="96">
        <f>IF($D$16="Lineal",$D$13+('[3]glosario parametros'!P5*$E$16), $D$13*($E$16^'[3]glosario parametros'!P5))</f>
        <v>1.8974358974358974</v>
      </c>
      <c r="D8" s="97">
        <f>IF($D$16="Lineal",$D$13+('[3]glosario parametros'!Q5*$E$16), $D$13*($E$16^'[3]glosario parametros'!Q5))</f>
        <v>1.6923076923076923</v>
      </c>
      <c r="E8" s="97">
        <f>IF($D$16="Lineal",$D$13+('[3]glosario parametros'!R5*$E$16), $D$13*($E$16^'[3]glosario parametros'!R5))</f>
        <v>1.4871794871794872</v>
      </c>
      <c r="F8" s="97">
        <f>IF($D$16="Lineal",$D$13+('[3]glosario parametros'!S5*$E$16), $D$13*($E$16^'[3]glosario parametros'!S5))</f>
        <v>1.2820512820512819</v>
      </c>
      <c r="G8" s="98">
        <f>IF($D$16="Lineal",$D$13+('[3]glosario parametros'!T5*$E$16), $D$13*($E$16^'[3]glosario parametros'!T5))</f>
        <v>1.0769230769230769</v>
      </c>
      <c r="H8" s="76"/>
      <c r="I8" s="99">
        <f t="shared" si="0"/>
        <v>4.1428571428571426E-2</v>
      </c>
      <c r="J8" s="100"/>
      <c r="K8" s="100"/>
      <c r="L8" s="101"/>
      <c r="M8" s="87"/>
      <c r="N8" s="99">
        <f t="shared" si="1"/>
        <v>0.23285714285714287</v>
      </c>
      <c r="O8" s="100"/>
      <c r="P8" s="100"/>
      <c r="Q8" s="101"/>
      <c r="R8" s="76">
        <v>690</v>
      </c>
      <c r="S8" s="102">
        <f>IF($T$16="Lineal",$T$13+('[3]glosario parametros'!V5*$U$16), $T$13*($U$16^'[3]glosario parametros'!V5))</f>
        <v>1.1958804876596757E-2</v>
      </c>
      <c r="T8" s="103">
        <f>IF($T$16="Lineal",$T$13+('[3]glosario parametros'!W5*$U$16), $T$13*($U$16^'[3]glosario parametros'!W5))</f>
        <v>1.9268823241617643E-2</v>
      </c>
      <c r="U8" s="103">
        <f>IF($T$16="Lineal",$T$13+('[3]glosario parametros'!X5*$U$16), $T$13*($U$16^'[3]glosario parametros'!X5))</f>
        <v>3.1047211903533083E-2</v>
      </c>
      <c r="V8" s="104">
        <f>IF($T$16="Lineal",$T$13+('[3]glosario parametros'!Y5*$U$16), $T$13*($U$16^'[3]glosario parametros'!Y5))</f>
        <v>5.002533651878386E-2</v>
      </c>
      <c r="W8" s="76"/>
      <c r="X8" s="105">
        <f>IF($Y$16="Lineal",$Y$13+('[3]glosario parametros'!J5*$Z$16), IF($Y$13=0,$Y$13+0.01,$Y$13)*($Z$16^'[3]glosario parametros'!J5))</f>
        <v>4.0451612903225805E-3</v>
      </c>
      <c r="Y8" s="106">
        <f>IF($Y$16="Lineal",$Y$13+('[3]glosario parametros'!K5*$Z$16), IF($Y$13=0,$Y$13+0.01,$Y$13)*($Z$16^'[3]glosario parametros'!K5))</f>
        <v>1.1735483870967742E-2</v>
      </c>
      <c r="Z8" s="106">
        <f>IF($Y$16="Lineal",$Y$13+('[3]glosario parametros'!L5*$Z$16), IF($Y$13=0,$Y$13+0.01,$Y$13)*($Z$16^'[3]glosario parametros'!L5))</f>
        <v>1.9425806451612904E-2</v>
      </c>
      <c r="AA8" s="107">
        <f>IF($Y$16="Lineal",$Y$13+('[3]glosario parametros'!M5*$Z$16), IF($Y$13=0,$Y$13+0.01,$Y$13)*($Z$16^'[3]glosario parametros'!M5))</f>
        <v>2.7116129032258064E-2</v>
      </c>
      <c r="AB8" s="76"/>
      <c r="AC8" s="108">
        <f>IF($AD$16="Lineal",$AD$13+('[3]glosario parametros'!J5*$AE$16), IF($AD$13=0,$AD$13+0.01,$AD$13)*($AE$16^'[3]glosario parametros'!J5))</f>
        <v>0.2729032258064516</v>
      </c>
      <c r="AD8" s="108">
        <f>IF($AD$16="Lineal",$AD$13+('[3]glosario parametros'!K5*$AE$16), IF($AD$13=0,$AD$13+0.01,$AD$13)*($AE$16^'[3]glosario parametros'!K5))</f>
        <v>0.29870967741935484</v>
      </c>
      <c r="AE8" s="108">
        <f>IF($AD$16="Lineal",$AD$13+('[3]glosario parametros'!L5*$AE$16), IF($AD$13=0,$AD$13+0.01,$AD$13)*($AE$16^'[3]glosario parametros'!L5))</f>
        <v>0.32451612903225807</v>
      </c>
      <c r="AF8" s="109">
        <f>IF($AD$16="Lineal",$AD$13+('[3]glosario parametros'!M5*$AE$16), IF($AD$13=0,$AD$13+0.01,$AD$13)*($AE$16^'[3]glosario parametros'!M5))</f>
        <v>0.35032258064516131</v>
      </c>
    </row>
    <row r="9" spans="1:32" ht="12.75" customHeight="1" thickBot="1">
      <c r="A9" s="326">
        <v>760</v>
      </c>
      <c r="B9" s="76" t="s">
        <v>325</v>
      </c>
      <c r="C9" s="96">
        <f>IF($D$16="Lineal",$D$13+('[3]glosario parametros'!P6*$E$16), $D$13*($E$16^'[3]glosario parametros'!P6))</f>
        <v>1.9230769230769229</v>
      </c>
      <c r="D9" s="97">
        <f>IF($D$16="Lineal",$D$13+('[3]glosario parametros'!Q6*$E$16), $D$13*($E$16^'[3]glosario parametros'!Q6))</f>
        <v>1.7179487179487181</v>
      </c>
      <c r="E9" s="97">
        <f>IF($D$16="Lineal",$D$13+('[3]glosario parametros'!R6*$E$16), $D$13*($E$16^'[3]glosario parametros'!R6))</f>
        <v>1.5128205128205128</v>
      </c>
      <c r="F9" s="97">
        <f>IF($D$16="Lineal",$D$13+('[3]glosario parametros'!S6*$E$16), $D$13*($E$16^'[3]glosario parametros'!S6))</f>
        <v>1.3076923076923077</v>
      </c>
      <c r="G9" s="98">
        <f>IF($D$16="Lineal",$D$13+('[3]glosario parametros'!T6*$E$16), $D$13*($E$16^'[3]glosario parametros'!T6))</f>
        <v>1.1025641025641026</v>
      </c>
      <c r="H9" s="76"/>
      <c r="I9" s="99">
        <f t="shared" si="0"/>
        <v>3.8571428571428569E-2</v>
      </c>
      <c r="J9" s="100"/>
      <c r="K9" s="100"/>
      <c r="L9" s="101"/>
      <c r="M9" s="87"/>
      <c r="N9" s="99">
        <f t="shared" si="1"/>
        <v>0.17714285714285716</v>
      </c>
      <c r="O9" s="100"/>
      <c r="P9" s="100"/>
      <c r="Q9" s="101"/>
      <c r="R9" s="76">
        <v>760</v>
      </c>
      <c r="S9" s="102">
        <f>IF($T$16="Lineal",$T$13+('[3]glosario parametros'!V6*$U$16), $T$13*($U$16^'[3]glosario parametros'!V6))</f>
        <v>1.2693567783628307E-2</v>
      </c>
      <c r="T9" s="103">
        <f>IF($T$16="Lineal",$T$13+('[3]glosario parametros'!W6*$U$16), $T$13*($U$16^'[3]glosario parametros'!W6))</f>
        <v>2.0452722195249306E-2</v>
      </c>
      <c r="U9" s="103">
        <f>IF($T$16="Lineal",$T$13+('[3]glosario parametros'!X6*$U$16), $T$13*($U$16^'[3]glosario parametros'!X6))</f>
        <v>3.2954788781730006E-2</v>
      </c>
      <c r="V9" s="104">
        <f>IF($T$16="Lineal",$T$13+('[3]glosario parametros'!Y6*$U$16), $T$13*($U$16^'[3]glosario parametros'!Y6))</f>
        <v>5.309895148826177E-2</v>
      </c>
      <c r="W9" s="76"/>
      <c r="X9" s="105">
        <f>IF($Y$16="Lineal",$Y$13+('[3]glosario parametros'!J6*$Z$16), IF($Y$13=0,$Y$13+0.01,$Y$13)*($Z$16^'[3]glosario parametros'!J6))</f>
        <v>3.0838709677419355E-3</v>
      </c>
      <c r="Y9" s="106">
        <f>IF($Y$16="Lineal",$Y$13+('[3]glosario parametros'!K6*$Z$16), IF($Y$13=0,$Y$13+0.01,$Y$13)*($Z$16^'[3]glosario parametros'!K6))</f>
        <v>1.0774193548387098E-2</v>
      </c>
      <c r="Z9" s="106">
        <f>IF($Y$16="Lineal",$Y$13+('[3]glosario parametros'!L6*$Z$16), IF($Y$13=0,$Y$13+0.01,$Y$13)*($Z$16^'[3]glosario parametros'!L6))</f>
        <v>1.8464516129032257E-2</v>
      </c>
      <c r="AA9" s="107">
        <f>IF($Y$16="Lineal",$Y$13+('[3]glosario parametros'!M6*$Z$16), IF($Y$13=0,$Y$13+0.01,$Y$13)*($Z$16^'[3]glosario parametros'!M6))</f>
        <v>2.6154838709677421E-2</v>
      </c>
      <c r="AB9" s="76"/>
      <c r="AC9" s="108">
        <f>IF($AD$16="Lineal",$AD$13+('[3]glosario parametros'!J6*$AE$16), IF($AD$13=0,$AD$13+0.01,$AD$13)*($AE$16^'[3]glosario parametros'!J6))</f>
        <v>0.26967741935483869</v>
      </c>
      <c r="AD9" s="108">
        <f>IF($AD$16="Lineal",$AD$13+('[3]glosario parametros'!K6*$AE$16), IF($AD$13=0,$AD$13+0.01,$AD$13)*($AE$16^'[3]glosario parametros'!K6))</f>
        <v>0.29548387096774192</v>
      </c>
      <c r="AE9" s="108">
        <f>IF($AD$16="Lineal",$AD$13+('[3]glosario parametros'!L6*$AE$16), IF($AD$13=0,$AD$13+0.01,$AD$13)*($AE$16^'[3]glosario parametros'!L6))</f>
        <v>0.32129032258064516</v>
      </c>
      <c r="AF9" s="109">
        <f>IF($AD$16="Lineal",$AD$13+('[3]glosario parametros'!M6*$AE$16), IF($AD$13=0,$AD$13+0.01,$AD$13)*($AE$16^'[3]glosario parametros'!M6))</f>
        <v>0.34709677419354834</v>
      </c>
    </row>
    <row r="10" spans="1:32" ht="12.75" customHeight="1" thickBot="1">
      <c r="A10" s="326">
        <v>830</v>
      </c>
      <c r="B10" s="76" t="s">
        <v>326</v>
      </c>
      <c r="C10" s="96">
        <f>IF($D$16="Lineal",$D$13+('[3]glosario parametros'!P7*$E$16), $D$13*($E$16^'[3]glosario parametros'!P7))</f>
        <v>1.9487179487179487</v>
      </c>
      <c r="D10" s="97">
        <f>IF($D$16="Lineal",$D$13+('[3]glosario parametros'!Q7*$E$16), $D$13*($E$16^'[3]glosario parametros'!Q7))</f>
        <v>1.7435897435897436</v>
      </c>
      <c r="E10" s="97">
        <f>IF($D$16="Lineal",$D$13+('[3]glosario parametros'!R7*$E$16), $D$13*($E$16^'[3]glosario parametros'!R7))</f>
        <v>1.5384615384615383</v>
      </c>
      <c r="F10" s="97">
        <f>IF($D$16="Lineal",$D$13+('[3]glosario parametros'!S7*$E$16), $D$13*($E$16^'[3]glosario parametros'!S7))</f>
        <v>1.3333333333333333</v>
      </c>
      <c r="G10" s="98">
        <f>IF($D$16="Lineal",$D$13+('[3]glosario parametros'!T7*$E$16), $D$13*($E$16^'[3]glosario parametros'!T7))</f>
        <v>1.1282051282051282</v>
      </c>
      <c r="H10" s="76"/>
      <c r="I10" s="99">
        <f t="shared" si="0"/>
        <v>3.5714285714285712E-2</v>
      </c>
      <c r="J10" s="100"/>
      <c r="K10" s="100"/>
      <c r="L10" s="101"/>
      <c r="M10" s="87"/>
      <c r="N10" s="99">
        <f t="shared" si="1"/>
        <v>0.12142857142857143</v>
      </c>
      <c r="O10" s="100"/>
      <c r="P10" s="100"/>
      <c r="Q10" s="101"/>
      <c r="R10" s="76">
        <v>830</v>
      </c>
      <c r="S10" s="102">
        <f>IF($T$16="Lineal",$T$13+('[3]glosario parametros'!V7*$U$16), $T$13*($U$16^'[3]glosario parametros'!V7))</f>
        <v>1.3473475379875918E-2</v>
      </c>
      <c r="T10" s="103">
        <f>IF($T$16="Lineal",$T$13+('[3]glosario parametros'!W7*$U$16), $T$13*($U$16^'[3]glosario parametros'!W7))</f>
        <v>2.1709361280171535E-2</v>
      </c>
      <c r="U10" s="103">
        <f>IF($T$16="Lineal",$T$13+('[3]glosario parametros'!X7*$U$16), $T$13*($U$16^'[3]glosario parametros'!X7))</f>
        <v>3.4979569406193664E-2</v>
      </c>
      <c r="V10" s="104">
        <f>IF($T$16="Lineal",$T$13+('[3]glosario parametros'!Y7*$U$16), $T$13*($U$16^'[3]glosario parametros'!Y7))</f>
        <v>5.636141294310118E-2</v>
      </c>
      <c r="W10" s="76"/>
      <c r="X10" s="105">
        <f>IF($Y$16="Lineal",$Y$13+('[3]glosario parametros'!J7*$Z$16), IF($Y$13=0,$Y$13+0.01,$Y$13)*($Z$16^'[3]glosario parametros'!J7))</f>
        <v>2.1225806451612905E-3</v>
      </c>
      <c r="Y10" s="106">
        <f>IF($Y$16="Lineal",$Y$13+('[3]glosario parametros'!K7*$Z$16), IF($Y$13=0,$Y$13+0.01,$Y$13)*($Z$16^'[3]glosario parametros'!K7))</f>
        <v>9.812903225806453E-3</v>
      </c>
      <c r="Z10" s="106">
        <f>IF($Y$16="Lineal",$Y$13+('[3]glosario parametros'!L7*$Z$16), IF($Y$13=0,$Y$13+0.01,$Y$13)*($Z$16^'[3]glosario parametros'!L7))</f>
        <v>1.7503225806451611E-2</v>
      </c>
      <c r="AA10" s="107">
        <f>IF($Y$16="Lineal",$Y$13+('[3]glosario parametros'!M7*$Z$16), IF($Y$13=0,$Y$13+0.01,$Y$13)*($Z$16^'[3]glosario parametros'!M7))</f>
        <v>2.5193548387096774E-2</v>
      </c>
      <c r="AB10" s="76"/>
      <c r="AC10" s="108">
        <f>IF($AD$16="Lineal",$AD$13+('[3]glosario parametros'!J7*$AE$16), IF($AD$13=0,$AD$13+0.01,$AD$13)*($AE$16^'[3]glosario parametros'!J7))</f>
        <v>0.26645161290322583</v>
      </c>
      <c r="AD10" s="108">
        <f>IF($AD$16="Lineal",$AD$13+('[3]glosario parametros'!K7*$AE$16), IF($AD$13=0,$AD$13+0.01,$AD$13)*($AE$16^'[3]glosario parametros'!K7))</f>
        <v>0.29225806451612901</v>
      </c>
      <c r="AE10" s="108">
        <f>IF($AD$16="Lineal",$AD$13+('[3]glosario parametros'!L7*$AE$16), IF($AD$13=0,$AD$13+0.01,$AD$13)*($AE$16^'[3]glosario parametros'!L7))</f>
        <v>0.31806451612903225</v>
      </c>
      <c r="AF10" s="109">
        <f>IF($AD$16="Lineal",$AD$13+('[3]glosario parametros'!M7*$AE$16), IF($AD$13=0,$AD$13+0.01,$AD$13)*($AE$16^'[3]glosario parametros'!M7))</f>
        <v>0.34387096774193548</v>
      </c>
    </row>
    <row r="11" spans="1:32" ht="12.75" customHeight="1" thickBot="1">
      <c r="A11" s="326">
        <v>900</v>
      </c>
      <c r="B11" s="76" t="s">
        <v>327</v>
      </c>
      <c r="C11" s="96">
        <f>IF($D$16="Lineal",$D$13+('[3]glosario parametros'!P8*$E$16), $D$13*($E$16^'[3]glosario parametros'!P8))</f>
        <v>1.9743589743589745</v>
      </c>
      <c r="D11" s="97">
        <f>IF($D$16="Lineal",$D$13+('[3]glosario parametros'!Q8*$E$16), $D$13*($E$16^'[3]glosario parametros'!Q8))</f>
        <v>1.7692307692307692</v>
      </c>
      <c r="E11" s="97">
        <f>IF($D$16="Lineal",$D$13+('[3]glosario parametros'!R8*$E$16), $D$13*($E$16^'[3]glosario parametros'!R8))</f>
        <v>1.5641025641025641</v>
      </c>
      <c r="F11" s="97">
        <f>IF($D$16="Lineal",$D$13+('[3]glosario parametros'!S8*$E$16), $D$13*($E$16^'[3]glosario parametros'!S8))</f>
        <v>1.358974358974359</v>
      </c>
      <c r="G11" s="98">
        <f>IF($D$16="Lineal",$D$13+('[3]glosario parametros'!T8*$E$16), $D$13*($E$16^'[3]glosario parametros'!T8))</f>
        <v>1.1538461538461537</v>
      </c>
      <c r="H11" s="76"/>
      <c r="I11" s="99">
        <f>I12-$K$16</f>
        <v>3.2857142857142856E-2</v>
      </c>
      <c r="J11" s="100"/>
      <c r="K11" s="100"/>
      <c r="L11" s="101"/>
      <c r="M11" s="87"/>
      <c r="N11" s="99">
        <f>N12-$P$16</f>
        <v>6.5714285714285711E-2</v>
      </c>
      <c r="O11" s="100"/>
      <c r="P11" s="100"/>
      <c r="Q11" s="101"/>
      <c r="R11" s="76">
        <v>900</v>
      </c>
      <c r="S11" s="102">
        <f>IF($T$16="Lineal",$T$13+('[3]glosario parametros'!V8*$U$16), $T$13*($U$16^'[3]glosario parametros'!V8))</f>
        <v>1.4301301407651439E-2</v>
      </c>
      <c r="T11" s="103">
        <f>IF($T$16="Lineal",$T$13+('[3]glosario parametros'!W8*$U$16), $T$13*($U$16^'[3]glosario parametros'!W8))</f>
        <v>2.3043209734813806E-2</v>
      </c>
      <c r="U11" s="103">
        <f>IF($T$16="Lineal",$T$13+('[3]glosario parametros'!X8*$U$16), $T$13*($U$16^'[3]glosario parametros'!X8))</f>
        <v>3.7128754911670434E-2</v>
      </c>
      <c r="V11" s="104">
        <f>IF($T$16="Lineal",$T$13+('[3]glosario parametros'!Y8*$U$16), $T$13*($U$16^'[3]glosario parametros'!Y8))</f>
        <v>5.9824323831422638E-2</v>
      </c>
      <c r="W11" s="76"/>
      <c r="X11" s="105">
        <f>IF($Y$16="Lineal",$Y$13+('[3]glosario parametros'!J8*$Z$16), IF($Y$13=0,$Y$13+0.01,$Y$13)*($Z$16^'[3]glosario parametros'!J8))</f>
        <v>1.1612903225806453E-3</v>
      </c>
      <c r="Y11" s="106">
        <f>IF($Y$16="Lineal",$Y$13+('[3]glosario parametros'!K8*$Z$16), IF($Y$13=0,$Y$13+0.01,$Y$13)*($Z$16^'[3]glosario parametros'!K8))</f>
        <v>8.8516129032258067E-3</v>
      </c>
      <c r="Z11" s="106">
        <f>IF($Y$16="Lineal",$Y$13+('[3]glosario parametros'!L8*$Z$16), IF($Y$13=0,$Y$13+0.01,$Y$13)*($Z$16^'[3]glosario parametros'!L8))</f>
        <v>1.6541935483870968E-2</v>
      </c>
      <c r="AA11" s="107">
        <f>IF($Y$16="Lineal",$Y$13+('[3]glosario parametros'!M8*$Z$16), IF($Y$13=0,$Y$13+0.01,$Y$13)*($Z$16^'[3]glosario parametros'!M8))</f>
        <v>2.4232258064516128E-2</v>
      </c>
      <c r="AB11" s="76"/>
      <c r="AC11" s="108">
        <f>IF($AD$16="Lineal",$AD$13+('[3]glosario parametros'!J8*$AE$16), IF($AD$13=0,$AD$13+0.01,$AD$13)*($AE$16^'[3]glosario parametros'!J8))</f>
        <v>0.26322580645161292</v>
      </c>
      <c r="AD11" s="108">
        <f>IF($AD$16="Lineal",$AD$13+('[3]glosario parametros'!K8*$AE$16), IF($AD$13=0,$AD$13+0.01,$AD$13)*($AE$16^'[3]glosario parametros'!K8))</f>
        <v>0.28903225806451616</v>
      </c>
      <c r="AE11" s="108">
        <f>IF($AD$16="Lineal",$AD$13+('[3]glosario parametros'!L8*$AE$16), IF($AD$13=0,$AD$13+0.01,$AD$13)*($AE$16^'[3]glosario parametros'!L8))</f>
        <v>0.31483870967741934</v>
      </c>
      <c r="AF11" s="109">
        <f>IF($AD$16="Lineal",$AD$13+('[3]glosario parametros'!M8*$AE$16), IF($AD$13=0,$AD$13+0.01,$AD$13)*($AE$16^'[3]glosario parametros'!M8))</f>
        <v>0.34064516129032257</v>
      </c>
    </row>
    <row r="12" spans="1:32" ht="12.75" customHeight="1" thickBot="1">
      <c r="A12" s="326">
        <v>1000</v>
      </c>
      <c r="B12" s="76" t="s">
        <v>328</v>
      </c>
      <c r="C12" s="110">
        <f>IF($D$16="Lineal",$D$13+('[3]glosario parametros'!P9*$E$16), $D$13*($E$16^'[3]glosario parametros'!P9))</f>
        <v>2</v>
      </c>
      <c r="D12" s="111">
        <f>IF($D$16="Lineal",$D$13+('[3]glosario parametros'!Q9*$E$16), $D$13*($E$16^'[3]glosario parametros'!Q9))</f>
        <v>1.7948717948717947</v>
      </c>
      <c r="E12" s="111">
        <f>IF($D$16="Lineal",$D$13+('[3]glosario parametros'!R9*$E$16), $D$13*($E$16^'[3]glosario parametros'!R9))</f>
        <v>1.5897435897435899</v>
      </c>
      <c r="F12" s="111">
        <f>IF($D$16="Lineal",$D$13+('[3]glosario parametros'!S9*$E$16), $D$13*($E$16^'[3]glosario parametros'!S9))</f>
        <v>1.3846153846153846</v>
      </c>
      <c r="G12" s="112">
        <f>IF($D$16="Lineal",$D$13+('[3]glosario parametros'!T9*$E$16), $D$13*($E$16^'[3]glosario parametros'!T9))</f>
        <v>1.1794871794871795</v>
      </c>
      <c r="H12" s="76"/>
      <c r="I12" s="99">
        <f>J14</f>
        <v>0.03</v>
      </c>
      <c r="J12" s="113"/>
      <c r="K12" s="113"/>
      <c r="L12" s="114"/>
      <c r="M12" s="87"/>
      <c r="N12" s="99">
        <f>O14</f>
        <v>0.01</v>
      </c>
      <c r="O12" s="113"/>
      <c r="P12" s="113"/>
      <c r="Q12" s="114"/>
      <c r="R12" s="76">
        <v>1000</v>
      </c>
      <c r="S12" s="115">
        <f>IF($T$16="Lineal",$T$13+('[3]glosario parametros'!V9*$U$16), $T$13*($U$16^'[3]glosario parametros'!V9))</f>
        <v>1.5179990031226569E-2</v>
      </c>
      <c r="T12" s="116">
        <f>IF($T$16="Lineal",$T$13+('[3]glosario parametros'!W9*$U$16), $T$13*($U$16^'[3]glosario parametros'!W9))</f>
        <v>2.445901139282261E-2</v>
      </c>
      <c r="U12" s="116">
        <f>IF($T$16="Lineal",$T$13+('[3]glosario parametros'!X9*$U$16), $T$13*($U$16^'[3]glosario parametros'!X9))</f>
        <v>3.9409988879016887E-2</v>
      </c>
      <c r="V12" s="117">
        <f>IF($T$16="Lineal",$T$13+('[3]glosario parametros'!Y9*$U$16), $T$13*($U$16^'[3]glosario parametros'!Y9))</f>
        <v>6.3499999999999945E-2</v>
      </c>
      <c r="W12" s="76"/>
      <c r="X12" s="118">
        <f>IF($Y$16="Lineal",$Y$13+('[3]glosario parametros'!J9*$Z$16), IF($Y$13=0,$Y$13+0.01,$Y$13)*($Z$16^'[3]glosario parametros'!J9))</f>
        <v>2.0000000000000001E-4</v>
      </c>
      <c r="Y12" s="119">
        <f>IF($Y$16="Lineal",$Y$13+('[3]glosario parametros'!K9*$Z$16), IF($Y$13=0,$Y$13+0.01,$Y$13)*($Z$16^'[3]glosario parametros'!K9))</f>
        <v>7.8903225806451621E-3</v>
      </c>
      <c r="Z12" s="119">
        <f>IF($Y$16="Lineal",$Y$13+('[3]glosario parametros'!L9*$Z$16), IF($Y$13=0,$Y$13+0.01,$Y$13)*($Z$16^'[3]glosario parametros'!L9))</f>
        <v>1.5580645161290324E-2</v>
      </c>
      <c r="AA12" s="120">
        <f>IF($Y$16="Lineal",$Y$13+('[3]glosario parametros'!M9*$Z$16), IF($Y$13=0,$Y$13+0.01,$Y$13)*($Z$16^'[3]glosario parametros'!M9))</f>
        <v>2.3270967741935482E-2</v>
      </c>
      <c r="AB12" s="76"/>
      <c r="AC12" s="121">
        <f>IF($AD$16="Lineal",$AD$13+('[3]glosario parametros'!J9*$AE$16), IF($AD$13=0,$AD$13+0.01,$AD$13)*($AE$16^'[3]glosario parametros'!J9))</f>
        <v>0.26</v>
      </c>
      <c r="AD12" s="121">
        <f>IF($AD$16="Lineal",$AD$13+('[3]glosario parametros'!K9*$AE$16), IF($AD$13=0,$AD$13+0.01,$AD$13)*($AE$16^'[3]glosario parametros'!K9))</f>
        <v>0.28580645161290325</v>
      </c>
      <c r="AE12" s="121">
        <f>IF($AD$16="Lineal",$AD$13+('[3]glosario parametros'!L9*$AE$16), IF($AD$13=0,$AD$13+0.01,$AD$13)*($AE$16^'[3]glosario parametros'!L9))</f>
        <v>0.31161290322580643</v>
      </c>
      <c r="AF12" s="121">
        <f>IF($AD$16="Lineal",$AD$13+('[3]glosario parametros'!M9*$AE$16), IF($AD$13=0,$AD$13+0.01,$AD$13)*($AE$16^'[3]glosario parametros'!M9))</f>
        <v>0.33741935483870966</v>
      </c>
    </row>
    <row r="13" spans="1:32" ht="12.75" customHeight="1">
      <c r="A13" s="76"/>
      <c r="B13" s="76"/>
      <c r="C13" s="76" t="s">
        <v>329</v>
      </c>
      <c r="D13" s="122">
        <v>1</v>
      </c>
      <c r="E13" s="76"/>
      <c r="F13" s="76"/>
      <c r="G13" s="76" t="s">
        <v>330</v>
      </c>
      <c r="H13" s="76"/>
      <c r="I13" s="76" t="s">
        <v>329</v>
      </c>
      <c r="J13" s="123">
        <v>0.05</v>
      </c>
      <c r="K13" s="76"/>
      <c r="L13" s="76"/>
      <c r="M13" s="76"/>
      <c r="N13" s="76" t="s">
        <v>329</v>
      </c>
      <c r="O13" s="123">
        <v>0.4</v>
      </c>
      <c r="P13" s="76"/>
      <c r="Q13" s="76"/>
      <c r="R13" s="76"/>
      <c r="S13" s="76" t="s">
        <v>329</v>
      </c>
      <c r="T13" s="124">
        <v>0.01</v>
      </c>
      <c r="U13" s="76" t="s">
        <v>331</v>
      </c>
      <c r="V13" s="125">
        <v>7.3499999999999996E-2</v>
      </c>
      <c r="W13" s="76"/>
      <c r="X13" s="76" t="s">
        <v>329</v>
      </c>
      <c r="Y13" s="126">
        <v>2.0000000000000001E-4</v>
      </c>
      <c r="Z13" s="76"/>
      <c r="AA13" s="76"/>
      <c r="AB13" s="76"/>
      <c r="AC13" s="76" t="s">
        <v>329</v>
      </c>
      <c r="AD13" s="127">
        <v>0.26</v>
      </c>
      <c r="AE13" s="76"/>
      <c r="AF13" s="76"/>
    </row>
    <row r="14" spans="1:32" ht="12.75" customHeight="1">
      <c r="A14" s="76"/>
      <c r="B14" s="76"/>
      <c r="C14" s="128" t="s">
        <v>332</v>
      </c>
      <c r="D14" s="122">
        <v>2</v>
      </c>
      <c r="E14" s="76"/>
      <c r="F14" s="76"/>
      <c r="G14" s="76"/>
      <c r="H14" s="76"/>
      <c r="I14" s="128" t="s">
        <v>332</v>
      </c>
      <c r="J14" s="123">
        <v>0.03</v>
      </c>
      <c r="K14" s="76"/>
      <c r="L14" s="76"/>
      <c r="M14" s="76"/>
      <c r="N14" s="128" t="s">
        <v>332</v>
      </c>
      <c r="O14" s="123">
        <v>0.01</v>
      </c>
      <c r="P14" s="76"/>
      <c r="Q14" s="76"/>
      <c r="R14" s="76"/>
      <c r="S14" s="128" t="s">
        <v>332</v>
      </c>
      <c r="T14" s="87">
        <f>V13-V14</f>
        <v>6.3500000000000001E-2</v>
      </c>
      <c r="U14" s="76" t="s">
        <v>333</v>
      </c>
      <c r="V14" s="129">
        <v>0.01</v>
      </c>
      <c r="W14" s="76"/>
      <c r="X14" s="128" t="s">
        <v>332</v>
      </c>
      <c r="Y14" s="123">
        <v>0.03</v>
      </c>
      <c r="Z14" s="130"/>
      <c r="AA14" s="76"/>
      <c r="AB14" s="76"/>
      <c r="AC14" s="128" t="s">
        <v>332</v>
      </c>
      <c r="AD14" s="87">
        <v>0.36</v>
      </c>
      <c r="AE14" s="130"/>
      <c r="AF14" s="76"/>
    </row>
    <row r="15" spans="1:32" ht="12.75" customHeight="1">
      <c r="A15" s="76"/>
      <c r="B15" s="76"/>
      <c r="C15" s="128" t="s">
        <v>63</v>
      </c>
      <c r="D15" s="122" t="s">
        <v>334</v>
      </c>
      <c r="E15" s="76"/>
      <c r="F15" s="76"/>
      <c r="G15" s="76"/>
      <c r="H15" s="76"/>
      <c r="I15" s="128" t="s">
        <v>63</v>
      </c>
      <c r="J15" s="122" t="s">
        <v>335</v>
      </c>
      <c r="K15" s="76"/>
      <c r="L15" s="76"/>
      <c r="M15" s="76"/>
      <c r="N15" s="128" t="s">
        <v>63</v>
      </c>
      <c r="O15" s="122" t="s">
        <v>335</v>
      </c>
      <c r="P15" s="76"/>
      <c r="Q15" s="76"/>
      <c r="R15" s="76"/>
      <c r="S15" s="128" t="s">
        <v>63</v>
      </c>
      <c r="T15" s="122" t="s">
        <v>336</v>
      </c>
      <c r="U15" s="76"/>
      <c r="V15" s="76"/>
      <c r="W15" s="76"/>
      <c r="X15" s="128" t="s">
        <v>63</v>
      </c>
      <c r="Y15" s="122" t="s">
        <v>335</v>
      </c>
      <c r="Z15" s="131"/>
      <c r="AA15" s="76"/>
      <c r="AB15" s="76"/>
      <c r="AC15" s="128" t="s">
        <v>63</v>
      </c>
      <c r="AD15" s="122" t="s">
        <v>335</v>
      </c>
      <c r="AE15" s="131"/>
      <c r="AF15" s="76"/>
    </row>
    <row r="16" spans="1:32" ht="12.75" customHeight="1">
      <c r="A16" s="76"/>
      <c r="B16" s="76"/>
      <c r="C16" s="128" t="s">
        <v>337</v>
      </c>
      <c r="D16" s="122" t="s">
        <v>338</v>
      </c>
      <c r="E16" s="76">
        <f>IF(D16="Lineal",(D14-D13)/((8*COUNTA(C4:G4))-1),(D14/D13)^(1/((8*COUNTA(C4:G4))-1)))</f>
        <v>2.564102564102564E-2</v>
      </c>
      <c r="F16" s="76"/>
      <c r="G16" s="76"/>
      <c r="H16" s="76"/>
      <c r="I16" s="128" t="s">
        <v>337</v>
      </c>
      <c r="J16" s="122" t="s">
        <v>338</v>
      </c>
      <c r="K16" s="76">
        <f>IF(J16="Lineal",(J14-J13)/((8*COUNTA(I4:M4))-1),(J13/J14)^(1/((8*COUNTA(I4:L4))-1)))</f>
        <v>-2.8571428571428576E-3</v>
      </c>
      <c r="L16" s="76"/>
      <c r="M16" s="76"/>
      <c r="N16" s="128" t="s">
        <v>337</v>
      </c>
      <c r="O16" s="122" t="s">
        <v>338</v>
      </c>
      <c r="P16" s="76">
        <f>IF(O16="Lineal",(O14-O13)/((8*COUNTA(N4:R4))-1),(O13/O14)^(1/((8*COUNTA(N4:Q4))-1)))</f>
        <v>-5.5714285714285716E-2</v>
      </c>
      <c r="Q16" s="76"/>
      <c r="R16" s="76"/>
      <c r="S16" s="128" t="s">
        <v>337</v>
      </c>
      <c r="T16" s="122" t="s">
        <v>339</v>
      </c>
      <c r="U16" s="76">
        <f>IF(T16="Lineal",(T14-T13)/((8*COUNTA(S4:V4))-1),(IF(T13=0,T14,T14/T13))^(1/((8*COUNTA(S4:V4))-1)))</f>
        <v>1.0614411652847913</v>
      </c>
      <c r="V16" s="76"/>
      <c r="W16" s="76"/>
      <c r="X16" s="128" t="s">
        <v>337</v>
      </c>
      <c r="Y16" s="122" t="s">
        <v>338</v>
      </c>
      <c r="Z16" s="76">
        <f>IF(Y16="Lineal",(Y14-Y13)/((8*COUNTA(X4:AA4))-1),(IF(Y13=0,Y14,Y14/Y13))^(1/((8*COUNTA(X4:AA4))-1)))</f>
        <v>9.612903225806452E-4</v>
      </c>
      <c r="AA16" s="76"/>
      <c r="AB16" s="76"/>
      <c r="AC16" s="128" t="s">
        <v>337</v>
      </c>
      <c r="AD16" s="122" t="s">
        <v>338</v>
      </c>
      <c r="AE16" s="76">
        <f>IF(AD16="Lineal",(AD14-AD13)/((8*COUNTA(AC4:AF4))-1),(IF(AD13=0,AD14,AD14/AD13))^(1/((8*COUNTA(AC4:AF4))-1)))</f>
        <v>3.2258064516129024E-3</v>
      </c>
      <c r="AF16" s="76"/>
    </row>
    <row r="17" spans="1:32" ht="14.25">
      <c r="A17" s="76"/>
      <c r="B17" s="76"/>
      <c r="C17" s="128"/>
      <c r="D17" s="76"/>
      <c r="E17" s="76"/>
      <c r="F17" s="76"/>
      <c r="G17" s="76"/>
      <c r="H17" s="76"/>
      <c r="I17" s="128"/>
      <c r="J17" s="122"/>
      <c r="K17" s="76"/>
      <c r="L17" s="76"/>
      <c r="M17" s="76"/>
      <c r="N17" s="128"/>
      <c r="O17" s="122"/>
      <c r="P17" s="76"/>
      <c r="Q17" s="76"/>
      <c r="R17" s="76"/>
      <c r="S17" s="128"/>
      <c r="T17" s="122"/>
      <c r="U17" s="76"/>
      <c r="V17" s="76"/>
      <c r="W17" s="76"/>
      <c r="X17" s="128"/>
      <c r="Y17" s="122"/>
      <c r="Z17" s="76"/>
      <c r="AA17" s="76"/>
      <c r="AB17" s="76"/>
      <c r="AC17" s="76"/>
      <c r="AD17" s="76"/>
      <c r="AE17" s="76"/>
      <c r="AF17" s="132"/>
    </row>
    <row r="18" spans="1:32" ht="12.75" customHeight="1" thickBot="1">
      <c r="A18" s="76"/>
      <c r="B18" s="76"/>
      <c r="C18" s="514" t="s">
        <v>340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15"/>
      <c r="X18" s="515"/>
      <c r="Y18" s="515"/>
      <c r="Z18" s="515"/>
      <c r="AA18" s="515"/>
    </row>
    <row r="19" spans="1:32" ht="15.75" customHeight="1" thickBot="1">
      <c r="A19" s="76"/>
      <c r="B19" s="76"/>
      <c r="C19" s="527" t="s">
        <v>341</v>
      </c>
      <c r="D19" s="525"/>
      <c r="E19" s="525"/>
      <c r="F19" s="525"/>
      <c r="G19" s="526"/>
      <c r="H19" s="133"/>
      <c r="I19" s="527" t="s">
        <v>342</v>
      </c>
      <c r="J19" s="525"/>
      <c r="K19" s="525"/>
      <c r="L19" s="526"/>
      <c r="M19" s="78"/>
      <c r="N19" s="527" t="s">
        <v>343</v>
      </c>
      <c r="O19" s="525"/>
      <c r="P19" s="525"/>
      <c r="Q19" s="526"/>
      <c r="R19" s="133"/>
      <c r="S19" s="527" t="s">
        <v>344</v>
      </c>
      <c r="T19" s="525"/>
      <c r="U19" s="525"/>
      <c r="V19" s="526"/>
      <c r="W19" s="76"/>
      <c r="X19" s="76"/>
      <c r="Y19" s="76"/>
      <c r="Z19" s="76"/>
      <c r="AA19" s="76"/>
    </row>
    <row r="20" spans="1:32" ht="12.75" customHeight="1" thickBot="1">
      <c r="A20" s="76"/>
      <c r="B20" s="76"/>
      <c r="C20" s="521" t="s">
        <v>315</v>
      </c>
      <c r="D20" s="522"/>
      <c r="E20" s="522"/>
      <c r="F20" s="522"/>
      <c r="G20" s="523"/>
      <c r="H20" s="76"/>
      <c r="I20" s="524" t="s">
        <v>317</v>
      </c>
      <c r="J20" s="525"/>
      <c r="K20" s="525"/>
      <c r="L20" s="526"/>
      <c r="M20" s="78"/>
      <c r="N20" s="524" t="s">
        <v>345</v>
      </c>
      <c r="O20" s="525"/>
      <c r="P20" s="525"/>
      <c r="Q20" s="526"/>
      <c r="R20" s="76"/>
      <c r="S20" s="524" t="s">
        <v>81</v>
      </c>
      <c r="T20" s="525"/>
      <c r="U20" s="525"/>
      <c r="V20" s="526"/>
      <c r="W20" s="76"/>
      <c r="X20" s="76"/>
      <c r="Y20" s="76"/>
      <c r="Z20" s="76"/>
      <c r="AA20" s="76"/>
    </row>
    <row r="21" spans="1:32" customFormat="1" ht="12.75" customHeight="1" thickBot="1">
      <c r="C21" s="134">
        <v>100000</v>
      </c>
      <c r="D21" s="135">
        <v>250000</v>
      </c>
      <c r="E21" s="135">
        <v>500000</v>
      </c>
      <c r="F21" s="136">
        <v>1000000</v>
      </c>
      <c r="G21" s="137">
        <v>5000000</v>
      </c>
      <c r="H21" s="79"/>
      <c r="I21" s="138">
        <v>0.25</v>
      </c>
      <c r="J21" s="139">
        <v>0.35</v>
      </c>
      <c r="K21" s="139">
        <v>0.5</v>
      </c>
      <c r="L21" s="140">
        <v>5</v>
      </c>
      <c r="M21" s="80"/>
      <c r="N21" s="141">
        <v>500000</v>
      </c>
      <c r="O21" s="142">
        <v>800000</v>
      </c>
      <c r="P21" s="142">
        <v>1200000</v>
      </c>
      <c r="Q21" s="143">
        <v>6000000</v>
      </c>
      <c r="R21" s="79"/>
      <c r="S21" s="144">
        <v>12</v>
      </c>
      <c r="T21" s="145">
        <v>24</v>
      </c>
      <c r="U21" s="145">
        <v>36</v>
      </c>
      <c r="V21" s="146">
        <v>94</v>
      </c>
      <c r="W21" s="79"/>
      <c r="X21" s="79"/>
      <c r="Y21" s="79"/>
      <c r="Z21" s="79"/>
      <c r="AA21" s="79"/>
    </row>
    <row r="22" spans="1:32" ht="12.75" customHeight="1">
      <c r="A22" s="326">
        <v>480</v>
      </c>
      <c r="B22" s="76" t="s">
        <v>321</v>
      </c>
      <c r="C22" s="147">
        <f>IF($D$33="Lineal",$D$30+('[3]glosario parametros'!P2*$E$33), $D$30*($E$33^'[3]glosario parametros'!P2))</f>
        <v>0.1676923076923077</v>
      </c>
      <c r="D22" s="148">
        <f>IF($D$33="Lineal",$D$30+('[3]glosario parametros'!Q2*$E$33), $D$30*($E$33^'[3]glosario parametros'!Q2))</f>
        <v>0.13076923076923078</v>
      </c>
      <c r="E22" s="148">
        <f>IF($D$33="Lineal",$D$30+('[3]glosario parametros'!R2*$E$33), $D$30*($E$33^'[3]glosario parametros'!R2))</f>
        <v>9.3846153846153857E-2</v>
      </c>
      <c r="F22" s="148">
        <f>IF($D$33="Lineal",$D$30+('[3]glosario parametros'!S2*$E$33), $D$30*($E$33^'[3]glosario parametros'!S2))</f>
        <v>5.6923076923076923E-2</v>
      </c>
      <c r="G22" s="149">
        <f>IF($D$33="Lineal",$D$30+('[3]glosario parametros'!T2*$E$33), $D$30*($E$33^'[3]glosario parametros'!T2))</f>
        <v>0.02</v>
      </c>
      <c r="H22" s="133"/>
      <c r="I22" s="150">
        <f>IF($J$33="Lineal",$J$30+('[3]glosario parametros'!Q2*$K$33), $J$30*($K$33^'[3]glosario parametros'!Q2))</f>
        <v>41.717599833649459</v>
      </c>
      <c r="J22" s="150">
        <f>IF($J$33="Lineal",$J$30+('[3]glosario parametros'!R2*$K$33), $J$30*($K$33^'[3]glosario parametros'!R2))</f>
        <v>27.538479523090018</v>
      </c>
      <c r="K22" s="150">
        <f>IF($J$33="Lineal",$J$30+('[3]glosario parametros'!S2*$K$33), $J$30*($K$33^'[3]glosario parametros'!S2))</f>
        <v>18.178607049966182</v>
      </c>
      <c r="L22" s="151">
        <f>IF($J$33="Lineal",$J$30+('[3]glosario parametros'!T2*$K$33), $J$30*($K$33^'[3]glosario parametros'!T2))</f>
        <v>12</v>
      </c>
      <c r="M22" s="152"/>
      <c r="N22" s="153">
        <f>IF($O$33="Lineal",$O$30+('[3]glosario parametros'!J2*$P$33), IF($O$30=0,$O$30+0.01,$O$30)*($P$33^'[3]glosario parametros'!J2))</f>
        <v>9.8064516129032261E-2</v>
      </c>
      <c r="O22" s="154">
        <f>IF($O$33="Lineal",$O$30+('[3]glosario parametros'!K2*$P$33), IF($O$30=0,$O$30+0.01,$O$30)*($P$33^'[3]glosario parametros'!K2))</f>
        <v>0.19870967741935486</v>
      </c>
      <c r="P22" s="154">
        <f>IF($O$33="Lineal",$O$30+('[3]glosario parametros'!L2*$P$33), IF($O$30=0,$O$30+0.01,$O$30)*($P$33^'[3]glosario parametros'!L2))</f>
        <v>0.29935483870967744</v>
      </c>
      <c r="Q22" s="155">
        <f>IF($O$33="Lineal",$O$30+('[3]glosario parametros'!M2*$P$33), IF($O$30=0,$O$30+0.01,$O$30)*($P$33^'[3]glosario parametros'!M2))</f>
        <v>0.4</v>
      </c>
      <c r="R22" s="133"/>
      <c r="S22" s="156">
        <f>IF($T$33="Lineal",$T$30+('[3]glosario parametros'!Q2*$U$33), $T$30*($U$33^'[3]glosario parametros'!Q2))</f>
        <v>0.25011310392291752</v>
      </c>
      <c r="T22" s="157">
        <f>IF($T$33="Lineal",$T$30+('[3]glosario parametros'!R2*$U$33), $T$30*($U$33^'[3]glosario parametros'!R2))</f>
        <v>0.14624497930329561</v>
      </c>
      <c r="U22" s="157">
        <f>IF($T$33="Lineal",$T$30+('[3]glosario parametros'!S2*$U$33), $T$30*($U$33^'[3]glosario parametros'!S2))</f>
        <v>8.5511689055735418E-2</v>
      </c>
      <c r="V22" s="158">
        <f>IF($T$33="Lineal",$T$30+('[3]glosario parametros'!T2*$U$33), $T$30*($U$33^'[3]glosario parametros'!T2))</f>
        <v>0.05</v>
      </c>
      <c r="W22" s="76"/>
      <c r="X22" s="76"/>
      <c r="Y22" s="76"/>
      <c r="Z22" s="76"/>
      <c r="AA22" s="76"/>
    </row>
    <row r="23" spans="1:32" ht="12.75" customHeight="1">
      <c r="A23" s="326">
        <v>550</v>
      </c>
      <c r="B23" s="76" t="s">
        <v>322</v>
      </c>
      <c r="C23" s="159">
        <f>IF($D$33="Lineal",$D$30+('[3]glosario parametros'!P3*$E$33), $D$30*($E$33^'[3]glosario parametros'!P3))</f>
        <v>0.1723076923076923</v>
      </c>
      <c r="D23" s="160">
        <f>IF($D$33="Lineal",$D$30+('[3]glosario parametros'!Q3*$E$33), $D$30*($E$33^'[3]glosario parametros'!Q3))</f>
        <v>0.13538461538461538</v>
      </c>
      <c r="E23" s="160">
        <f>IF($D$33="Lineal",$D$30+('[3]glosario parametros'!R3*$E$33), $D$30*($E$33^'[3]glosario parametros'!R3))</f>
        <v>9.8461538461538475E-2</v>
      </c>
      <c r="F23" s="160">
        <f>IF($D$33="Lineal",$D$30+('[3]glosario parametros'!S3*$E$33), $D$30*($E$33^'[3]glosario parametros'!S3))</f>
        <v>6.1538461538461542E-2</v>
      </c>
      <c r="G23" s="161">
        <f>IF($D$33="Lineal",$D$30+('[3]glosario parametros'!T3*$E$33), $D$30*($E$33^'[3]glosario parametros'!T3))</f>
        <v>2.4615384615384615E-2</v>
      </c>
      <c r="H23" s="133"/>
      <c r="I23" s="162">
        <f>IF($J$33="Lineal",$J$30+('[3]glosario parametros'!Q3*$K$33), $J$30*($K$33^'[3]glosario parametros'!Q3))</f>
        <v>43.94067594219927</v>
      </c>
      <c r="J23" s="163">
        <f>IF($J$33="Lineal",$J$30+('[3]glosario parametros'!R3*$K$33), $J$30*($K$33^'[3]glosario parametros'!R3))</f>
        <v>29.005968931341862</v>
      </c>
      <c r="K23" s="163">
        <f>IF($J$33="Lineal",$J$30+('[3]glosario parametros'!S3*$K$33), $J$30*($K$33^'[3]glosario parametros'!S3))</f>
        <v>19.147321146190343</v>
      </c>
      <c r="L23" s="164">
        <f>IF($J$33="Lineal",$J$30+('[3]glosario parametros'!T3*$K$33), $J$30*($K$33^'[3]glosario parametros'!T3))</f>
        <v>12.639464240727484</v>
      </c>
      <c r="M23" s="152"/>
      <c r="N23" s="153">
        <f>IF($O$33="Lineal",$O$30+('[3]glosario parametros'!J3*$P$33), IF($O$30=0,$O$30+0.01,$O$30)*($P$33^'[3]glosario parametros'!J3))</f>
        <v>8.5483870967741932E-2</v>
      </c>
      <c r="O23" s="154">
        <f>IF($O$33="Lineal",$O$30+('[3]glosario parametros'!K3*$P$33), IF($O$30=0,$O$30+0.01,$O$30)*($P$33^'[3]glosario parametros'!K3))</f>
        <v>0.18612903225806454</v>
      </c>
      <c r="P23" s="154">
        <f>IF($O$33="Lineal",$O$30+('[3]glosario parametros'!L3*$P$33), IF($O$30=0,$O$30+0.01,$O$30)*($P$33^'[3]glosario parametros'!L3))</f>
        <v>0.28677419354838712</v>
      </c>
      <c r="Q23" s="155">
        <f>IF($O$33="Lineal",$O$30+('[3]glosario parametros'!M3*$P$33), IF($O$30=0,$O$30+0.01,$O$30)*($P$33^'[3]glosario parametros'!M3))</f>
        <v>0.38741935483870971</v>
      </c>
      <c r="R23" s="133"/>
      <c r="S23" s="165">
        <f>IF($T$33="Lineal",$T$30+('[3]glosario parametros'!Q3*$U$33), $T$30*($U$33^'[3]glosario parametros'!Q3))</f>
        <v>0.26746587568176355</v>
      </c>
      <c r="T23" s="166">
        <f>IF($T$33="Lineal",$T$30+('[3]glosario parametros'!R3*$U$33), $T$30*($U$33^'[3]glosario parametros'!R3))</f>
        <v>0.15639141188489025</v>
      </c>
      <c r="U23" s="166">
        <f>IF($T$33="Lineal",$T$30+('[3]glosario parametros'!S3*$U$33), $T$30*($U$33^'[3]glosario parametros'!S3))</f>
        <v>9.1444464266725187E-2</v>
      </c>
      <c r="V23" s="167">
        <f>IF($T$33="Lineal",$T$30+('[3]glosario parametros'!T3*$U$33), $T$30*($U$33^'[3]glosario parametros'!T3))</f>
        <v>5.346898492855337E-2</v>
      </c>
      <c r="W23" s="76"/>
      <c r="X23" s="76"/>
      <c r="Y23" s="76"/>
      <c r="Z23" s="76"/>
      <c r="AA23" s="76"/>
    </row>
    <row r="24" spans="1:32" ht="14.25">
      <c r="A24" s="326">
        <v>620</v>
      </c>
      <c r="B24" s="76" t="s">
        <v>323</v>
      </c>
      <c r="C24" s="159">
        <f>IF($D$33="Lineal",$D$30+('[3]glosario parametros'!P4*$E$33), $D$30*($E$33^'[3]glosario parametros'!P4))</f>
        <v>0.17692307692307693</v>
      </c>
      <c r="D24" s="160">
        <f>IF($D$33="Lineal",$D$30+('[3]glosario parametros'!Q4*$E$33), $D$30*($E$33^'[3]glosario parametros'!Q4))</f>
        <v>0.14000000000000001</v>
      </c>
      <c r="E24" s="160">
        <f>IF($D$33="Lineal",$D$30+('[3]glosario parametros'!R4*$E$33), $D$30*($E$33^'[3]glosario parametros'!R4))</f>
        <v>0.10307692307692309</v>
      </c>
      <c r="F24" s="160">
        <f>IF($D$33="Lineal",$D$30+('[3]glosario parametros'!S4*$E$33), $D$30*($E$33^'[3]glosario parametros'!S4))</f>
        <v>6.615384615384616E-2</v>
      </c>
      <c r="G24" s="161">
        <f>IF($D$33="Lineal",$D$30+('[3]glosario parametros'!T4*$E$33), $D$30*($E$33^'[3]glosario parametros'!T4))</f>
        <v>2.9230769230769234E-2</v>
      </c>
      <c r="H24" s="133"/>
      <c r="I24" s="162">
        <f>IF($J$33="Lineal",$J$30+('[3]glosario parametros'!Q4*$K$33), $J$30*($K$33^'[3]glosario parametros'!Q4))</f>
        <v>46.282216857068512</v>
      </c>
      <c r="J24" s="163">
        <f>IF($J$33="Lineal",$J$30+('[3]glosario parametros'!R4*$K$33), $J$30*($K$33^'[3]glosario parametros'!R4))</f>
        <v>30.551658922945656</v>
      </c>
      <c r="K24" s="163">
        <f>IF($J$33="Lineal",$J$30+('[3]glosario parametros'!S4*$K$33), $J$30*($K$33^'[3]glosario parametros'!S4))</f>
        <v>20.167656744416504</v>
      </c>
      <c r="L24" s="164">
        <f>IF($J$33="Lineal",$J$30+('[3]glosario parametros'!T4*$K$33), $J$30*($K$33^'[3]glosario parametros'!T4))</f>
        <v>13.3130046910524</v>
      </c>
      <c r="M24" s="152"/>
      <c r="N24" s="153">
        <f>IF($O$33="Lineal",$O$30+('[3]glosario parametros'!J4*$P$33), IF($O$30=0,$O$30+0.01,$O$30)*($P$33^'[3]glosario parametros'!J4))</f>
        <v>7.2903225806451602E-2</v>
      </c>
      <c r="O24" s="154">
        <f>IF($O$33="Lineal",$O$30+('[3]glosario parametros'!K4*$P$33), IF($O$30=0,$O$30+0.01,$O$30)*($P$33^'[3]glosario parametros'!K4))</f>
        <v>0.1735483870967742</v>
      </c>
      <c r="P24" s="154">
        <f>IF($O$33="Lineal",$O$30+('[3]glosario parametros'!L4*$P$33), IF($O$30=0,$O$30+0.01,$O$30)*($P$33^'[3]glosario parametros'!L4))</f>
        <v>0.27419354838709681</v>
      </c>
      <c r="Q24" s="155">
        <f>IF($O$33="Lineal",$O$30+('[3]glosario parametros'!M4*$P$33), IF($O$30=0,$O$30+0.01,$O$30)*($P$33^'[3]glosario parametros'!M4))</f>
        <v>0.37483870967741939</v>
      </c>
      <c r="R24" s="133"/>
      <c r="S24" s="165">
        <f>IF($T$33="Lineal",$T$30+('[3]glosario parametros'!Q4*$U$33), $T$30*($U$33^'[3]glosario parametros'!Q4))</f>
        <v>0.28602257751461085</v>
      </c>
      <c r="T24" s="166">
        <f>IF($T$33="Lineal",$T$30+('[3]glosario parametros'!R4*$U$33), $T$30*($U$33^'[3]glosario parametros'!R4))</f>
        <v>0.16724180090056753</v>
      </c>
      <c r="U24" s="166">
        <f>IF($T$33="Lineal",$T$30+('[3]glosario parametros'!S4*$U$33), $T$30*($U$33^'[3]glosario parametros'!S4))</f>
        <v>9.7788853633543296E-2</v>
      </c>
      <c r="V24" s="167">
        <f>IF($T$33="Lineal",$T$30+('[3]glosario parametros'!T4*$U$33), $T$30*($U$33^'[3]glosario parametros'!T4))</f>
        <v>5.7178646985797332E-2</v>
      </c>
      <c r="W24" s="76"/>
      <c r="X24" s="76"/>
      <c r="Y24" s="76"/>
      <c r="Z24" s="76"/>
      <c r="AA24" s="76"/>
    </row>
    <row r="25" spans="1:32" ht="12.75" customHeight="1">
      <c r="A25" s="326">
        <v>690</v>
      </c>
      <c r="B25" s="76" t="s">
        <v>324</v>
      </c>
      <c r="C25" s="159">
        <f>IF($D$33="Lineal",$D$30+('[3]glosario parametros'!P5*$E$33), $D$30*($E$33^'[3]glosario parametros'!P5))</f>
        <v>0.18153846153846154</v>
      </c>
      <c r="D25" s="160">
        <f>IF($D$33="Lineal",$D$30+('[3]glosario parametros'!Q5*$E$33), $D$30*($E$33^'[3]glosario parametros'!Q5))</f>
        <v>0.14461538461538462</v>
      </c>
      <c r="E25" s="160">
        <f>IF($D$33="Lineal",$D$30+('[3]glosario parametros'!R5*$E$33), $D$30*($E$33^'[3]glosario parametros'!R5))</f>
        <v>0.1076923076923077</v>
      </c>
      <c r="F25" s="160">
        <f>IF($D$33="Lineal",$D$30+('[3]glosario parametros'!S5*$E$33), $D$30*($E$33^'[3]glosario parametros'!S5))</f>
        <v>7.0769230769230779E-2</v>
      </c>
      <c r="G25" s="161">
        <f>IF($D$33="Lineal",$D$30+('[3]glosario parametros'!T5*$E$33), $D$30*($E$33^'[3]glosario parametros'!T5))</f>
        <v>3.3846153846153845E-2</v>
      </c>
      <c r="H25" s="133"/>
      <c r="I25" s="162">
        <f>IF($J$33="Lineal",$J$30+('[3]glosario parametros'!Q5*$K$33), $J$30*($K$33^'[3]glosario parametros'!Q5))</f>
        <v>48.74853541220935</v>
      </c>
      <c r="J25" s="163">
        <f>IF($J$33="Lineal",$J$30+('[3]glosario parametros'!R5*$K$33), $J$30*($K$33^'[3]glosario parametros'!R5))</f>
        <v>32.179716704289532</v>
      </c>
      <c r="K25" s="163">
        <f>IF($J$33="Lineal",$J$30+('[3]glosario parametros'!S5*$K$33), $J$30*($K$33^'[3]glosario parametros'!S5))</f>
        <v>21.242364686693236</v>
      </c>
      <c r="L25" s="164">
        <f>IF($J$33="Lineal",$J$30+('[3]glosario parametros'!T5*$K$33), $J$30*($K$33^'[3]glosario parametros'!T5))</f>
        <v>14.022437227432839</v>
      </c>
      <c r="M25" s="152"/>
      <c r="N25" s="153">
        <f>IF($O$33="Lineal",$O$30+('[3]glosario parametros'!J5*$P$33), IF($O$30=0,$O$30+0.01,$O$30)*($P$33^'[3]glosario parametros'!J5))</f>
        <v>6.0322580645161293E-2</v>
      </c>
      <c r="O25" s="154">
        <f>IF($O$33="Lineal",$O$30+('[3]glosario parametros'!K5*$P$33), IF($O$30=0,$O$30+0.01,$O$30)*($P$33^'[3]glosario parametros'!K5))</f>
        <v>0.16096774193548388</v>
      </c>
      <c r="P25" s="154">
        <f>IF($O$33="Lineal",$O$30+('[3]glosario parametros'!L5*$P$33), IF($O$30=0,$O$30+0.01,$O$30)*($P$33^'[3]glosario parametros'!L5))</f>
        <v>0.26161290322580644</v>
      </c>
      <c r="Q25" s="155">
        <f>IF($O$33="Lineal",$O$30+('[3]glosario parametros'!M5*$P$33), IF($O$30=0,$O$30+0.01,$O$30)*($P$33^'[3]glosario parametros'!M5))</f>
        <v>0.36225806451612907</v>
      </c>
      <c r="R25" s="133"/>
      <c r="S25" s="165">
        <f>IF($T$33="Lineal",$T$30+('[3]glosario parametros'!Q5*$U$33), $T$30*($U$33^'[3]glosario parametros'!Q5))</f>
        <v>0.30586673772709427</v>
      </c>
      <c r="T25" s="166">
        <f>IF($T$33="Lineal",$T$30+('[3]glosario parametros'!R5*$U$33), $T$30*($U$33^'[3]glosario parametros'!R5))</f>
        <v>0.17884498663553136</v>
      </c>
      <c r="U25" s="166">
        <f>IF($T$33="Lineal",$T$30+('[3]glosario parametros'!S5*$U$33), $T$30*($U$33^'[3]glosario parametros'!S5))</f>
        <v>0.10457341482224874</v>
      </c>
      <c r="V25" s="167">
        <f>IF($T$33="Lineal",$T$30+('[3]glosario parametros'!T5*$U$33), $T$30*($U$33^'[3]glosario parametros'!T5))</f>
        <v>6.1145684278373413E-2</v>
      </c>
      <c r="W25" s="76"/>
      <c r="X25" s="76"/>
      <c r="Y25" s="76"/>
      <c r="Z25" s="76"/>
      <c r="AA25" s="76"/>
    </row>
    <row r="26" spans="1:32" ht="12.75" customHeight="1">
      <c r="A26" s="326">
        <v>760</v>
      </c>
      <c r="B26" s="76" t="s">
        <v>325</v>
      </c>
      <c r="C26" s="159">
        <f>IF($D$33="Lineal",$D$30+('[3]glosario parametros'!P6*$E$33), $D$30*($E$33^'[3]glosario parametros'!P6))</f>
        <v>0.18615384615384617</v>
      </c>
      <c r="D26" s="160">
        <f>IF($D$33="Lineal",$D$30+('[3]glosario parametros'!Q6*$E$33), $D$30*($E$33^'[3]glosario parametros'!Q6))</f>
        <v>0.14923076923076922</v>
      </c>
      <c r="E26" s="160">
        <f>IF($D$33="Lineal",$D$30+('[3]glosario parametros'!R6*$E$33), $D$30*($E$33^'[3]glosario parametros'!R6))</f>
        <v>0.11230769230769232</v>
      </c>
      <c r="F26" s="160">
        <f>IF($D$33="Lineal",$D$30+('[3]glosario parametros'!S6*$E$33), $D$30*($E$33^'[3]glosario parametros'!S6))</f>
        <v>7.5384615384615397E-2</v>
      </c>
      <c r="G26" s="161">
        <f>IF($D$33="Lineal",$D$30+('[3]glosario parametros'!T6*$E$33), $D$30*($E$33^'[3]glosario parametros'!T6))</f>
        <v>3.8461538461538464E-2</v>
      </c>
      <c r="H26" s="133"/>
      <c r="I26" s="162">
        <f>IF($J$33="Lineal",$J$30+('[3]glosario parametros'!Q6*$K$33), $J$30*($K$33^'[3]glosario parametros'!Q6))</f>
        <v>51.346280844204799</v>
      </c>
      <c r="J26" s="163">
        <f>IF($J$33="Lineal",$J$30+('[3]glosario parametros'!R6*$K$33), $J$30*($K$33^'[3]glosario parametros'!R6))</f>
        <v>33.894531546717374</v>
      </c>
      <c r="K26" s="163">
        <f>IF($J$33="Lineal",$J$30+('[3]glosario parametros'!S6*$K$33), $J$30*($K$33^'[3]glosario parametros'!S6))</f>
        <v>22.374342403829289</v>
      </c>
      <c r="L26" s="164">
        <f>IF($J$33="Lineal",$J$30+('[3]glosario parametros'!T6*$K$33), $J$30*($K$33^'[3]glosario parametros'!T6))</f>
        <v>14.769674491998604</v>
      </c>
      <c r="M26" s="152"/>
      <c r="N26" s="153">
        <f>IF($O$33="Lineal",$O$30+('[3]glosario parametros'!J6*$P$33), IF($O$30=0,$O$30+0.01,$O$30)*($P$33^'[3]glosario parametros'!J6))</f>
        <v>4.774193548387097E-2</v>
      </c>
      <c r="O26" s="154">
        <f>IF($O$33="Lineal",$O$30+('[3]glosario parametros'!K6*$P$33), IF($O$30=0,$O$30+0.01,$O$30)*($P$33^'[3]glosario parametros'!K6))</f>
        <v>0.14838709677419357</v>
      </c>
      <c r="P26" s="154">
        <f>IF($O$33="Lineal",$O$30+('[3]glosario parametros'!L6*$P$33), IF($O$30=0,$O$30+0.01,$O$30)*($P$33^'[3]glosario parametros'!L6))</f>
        <v>0.24903225806451615</v>
      </c>
      <c r="Q26" s="155">
        <f>IF($O$33="Lineal",$O$30+('[3]glosario parametros'!M6*$P$33), IF($O$30=0,$O$30+0.01,$O$30)*($P$33^'[3]glosario parametros'!M6))</f>
        <v>0.3496774193548387</v>
      </c>
      <c r="R26" s="133"/>
      <c r="S26" s="165">
        <f>IF($T$33="Lineal",$T$30+('[3]glosario parametros'!Q6*$U$33), $T$30*($U$33^'[3]glosario parametros'!Q6))</f>
        <v>0.32708767979351577</v>
      </c>
      <c r="T26" s="166">
        <f>IF($T$33="Lineal",$T$30+('[3]glosario parametros'!R6*$U$33), $T$30*($U$33^'[3]glosario parametros'!R6))</f>
        <v>0.1912531978992511</v>
      </c>
      <c r="U26" s="166">
        <f>IF($T$33="Lineal",$T$30+('[3]glosario parametros'!S6*$U$33), $T$30*($U$33^'[3]glosario parametros'!S6))</f>
        <v>0.11182868682116354</v>
      </c>
      <c r="V26" s="167">
        <f>IF($T$33="Lineal",$T$30+('[3]glosario parametros'!T6*$U$33), $T$30*($U$33^'[3]glosario parametros'!T6))</f>
        <v>6.5387953422528608E-2</v>
      </c>
      <c r="W26" s="76"/>
      <c r="X26" s="76"/>
      <c r="Y26" s="76"/>
      <c r="Z26" s="76"/>
      <c r="AA26" s="76"/>
    </row>
    <row r="27" spans="1:32" ht="12.75" customHeight="1">
      <c r="A27" s="326">
        <v>830</v>
      </c>
      <c r="B27" s="76" t="s">
        <v>326</v>
      </c>
      <c r="C27" s="159">
        <f>IF($D$33="Lineal",$D$30+('[3]glosario parametros'!P7*$E$33), $D$30*($E$33^'[3]glosario parametros'!P7))</f>
        <v>0.19076923076923077</v>
      </c>
      <c r="D27" s="160">
        <f>IF($D$33="Lineal",$D$30+('[3]glosario parametros'!Q7*$E$33), $D$30*($E$33^'[3]glosario parametros'!Q7))</f>
        <v>0.15384615384615385</v>
      </c>
      <c r="E27" s="160">
        <f>IF($D$33="Lineal",$D$30+('[3]glosario parametros'!R7*$E$33), $D$30*($E$33^'[3]glosario parametros'!R7))</f>
        <v>0.11692307692307694</v>
      </c>
      <c r="F27" s="160">
        <f>IF($D$33="Lineal",$D$30+('[3]glosario parametros'!S7*$E$33), $D$30*($E$33^'[3]glosario parametros'!S7))</f>
        <v>0.08</v>
      </c>
      <c r="G27" s="161">
        <f>IF($D$33="Lineal",$D$30+('[3]glosario parametros'!T7*$E$33), $D$30*($E$33^'[3]glosario parametros'!T7))</f>
        <v>4.3076923076923082E-2</v>
      </c>
      <c r="H27" s="133"/>
      <c r="I27" s="162">
        <f>IF($J$33="Lineal",$J$30+('[3]glosario parametros'!Q7*$K$33), $J$30*($K$33^'[3]glosario parametros'!Q7))</f>
        <v>54.082456718723101</v>
      </c>
      <c r="J27" s="163">
        <f>IF($J$33="Lineal",$J$30+('[3]glosario parametros'!R7*$K$33), $J$30*($K$33^'[3]glosario parametros'!R7))</f>
        <v>35.700726620078655</v>
      </c>
      <c r="K27" s="163">
        <f>IF($J$33="Lineal",$J$30+('[3]glosario parametros'!S7*$K$33), $J$30*($K$33^'[3]glosario parametros'!S7))</f>
        <v>23.566641726916078</v>
      </c>
      <c r="L27" s="164">
        <f>IF($J$33="Lineal",$J$30+('[3]glosario parametros'!T7*$K$33), $J$30*($K$33^'[3]glosario parametros'!T7))</f>
        <v>15.556731049066768</v>
      </c>
      <c r="M27" s="152"/>
      <c r="N27" s="153">
        <f>IF($O$33="Lineal",$O$30+('[3]glosario parametros'!J7*$P$33), IF($O$30=0,$O$30+0.01,$O$30)*($P$33^'[3]glosario parametros'!J7))</f>
        <v>3.5161290322580648E-2</v>
      </c>
      <c r="O27" s="154">
        <f>IF($O$33="Lineal",$O$30+('[3]glosario parametros'!K7*$P$33), IF($O$30=0,$O$30+0.01,$O$30)*($P$33^'[3]glosario parametros'!K7))</f>
        <v>0.13580645161290322</v>
      </c>
      <c r="P27" s="154">
        <f>IF($O$33="Lineal",$O$30+('[3]glosario parametros'!L7*$P$33), IF($O$30=0,$O$30+0.01,$O$30)*($P$33^'[3]glosario parametros'!L7))</f>
        <v>0.23645161290322581</v>
      </c>
      <c r="Q27" s="155">
        <f>IF($O$33="Lineal",$O$30+('[3]glosario parametros'!M7*$P$33), IF($O$30=0,$O$30+0.01,$O$30)*($P$33^'[3]glosario parametros'!M7))</f>
        <v>0.33709677419354839</v>
      </c>
      <c r="R27" s="133"/>
      <c r="S27" s="165">
        <f>IF($T$33="Lineal",$T$30+('[3]glosario parametros'!Q7*$U$33), $T$30*($U$33^'[3]glosario parametros'!Q7))</f>
        <v>0.34978092442389969</v>
      </c>
      <c r="T27" s="166">
        <f>IF($T$33="Lineal",$T$30+('[3]glosario parametros'!R7*$U$33), $T$30*($U$33^'[3]glosario parametros'!R7))</f>
        <v>0.2045222871202538</v>
      </c>
      <c r="U27" s="166">
        <f>IF($T$33="Lineal",$T$30+('[3]glosario parametros'!S7*$U$33), $T$30*($U$33^'[3]glosario parametros'!S7))</f>
        <v>0.11958732740441416</v>
      </c>
      <c r="V27" s="167">
        <f>IF($T$33="Lineal",$T$30+('[3]glosario parametros'!T7*$U$33), $T$30*($U$33^'[3]glosario parametros'!T7))</f>
        <v>6.9924549921162635E-2</v>
      </c>
      <c r="W27" s="76"/>
      <c r="X27" s="76"/>
      <c r="Y27" s="76"/>
      <c r="Z27" s="76"/>
      <c r="AA27" s="76"/>
    </row>
    <row r="28" spans="1:32" ht="12.75" customHeight="1">
      <c r="A28" s="326">
        <v>900</v>
      </c>
      <c r="B28" s="76" t="s">
        <v>327</v>
      </c>
      <c r="C28" s="159">
        <f>IF($D$33="Lineal",$D$30+('[3]glosario parametros'!P8*$E$33), $D$30*($E$33^'[3]glosario parametros'!P8))</f>
        <v>0.19538461538461538</v>
      </c>
      <c r="D28" s="160">
        <f>IF($D$33="Lineal",$D$30+('[3]glosario parametros'!Q8*$E$33), $D$30*($E$33^'[3]glosario parametros'!Q8))</f>
        <v>0.15846153846153846</v>
      </c>
      <c r="E28" s="160">
        <f>IF($D$33="Lineal",$D$30+('[3]glosario parametros'!R8*$E$33), $D$30*($E$33^'[3]glosario parametros'!R8))</f>
        <v>0.12153846153846155</v>
      </c>
      <c r="F28" s="160">
        <f>IF($D$33="Lineal",$D$30+('[3]glosario parametros'!S8*$E$33), $D$30*($E$33^'[3]glosario parametros'!S8))</f>
        <v>8.461538461538462E-2</v>
      </c>
      <c r="G28" s="161">
        <f>IF($D$33="Lineal",$D$30+('[3]glosario parametros'!T8*$E$33), $D$30*($E$33^'[3]glosario parametros'!T8))</f>
        <v>4.7692307692307701E-2</v>
      </c>
      <c r="H28" s="133"/>
      <c r="I28" s="162">
        <f>IF($J$33="Lineal",$J$30+('[3]glosario parametros'!Q8*$K$33), $J$30*($K$33^'[3]glosario parametros'!Q8))</f>
        <v>56.964439812249367</v>
      </c>
      <c r="J28" s="163">
        <f>IF($J$33="Lineal",$J$30+('[3]glosario parametros'!R8*$K$33), $J$30*($K$33^'[3]glosario parametros'!R8))</f>
        <v>37.603171456872658</v>
      </c>
      <c r="K28" s="163">
        <f>IF($J$33="Lineal",$J$30+('[3]glosario parametros'!S8*$K$33), $J$30*($K$33^'[3]glosario parametros'!S8))</f>
        <v>24.822477115116001</v>
      </c>
      <c r="L28" s="164">
        <f>IF($J$33="Lineal",$J$30+('[3]glosario parametros'!T8*$K$33), $J$30*($K$33^'[3]glosario parametros'!T8))</f>
        <v>16.385728816441198</v>
      </c>
      <c r="M28" s="152"/>
      <c r="N28" s="153">
        <f>IF($O$33="Lineal",$O$30+('[3]glosario parametros'!J8*$P$33), IF($O$30=0,$O$30+0.01,$O$30)*($P$33^'[3]glosario parametros'!J8))</f>
        <v>2.2580645161290325E-2</v>
      </c>
      <c r="O28" s="154">
        <f>IF($O$33="Lineal",$O$30+('[3]glosario parametros'!K8*$P$33), IF($O$30=0,$O$30+0.01,$O$30)*($P$33^'[3]glosario parametros'!K8))</f>
        <v>0.12322580645161289</v>
      </c>
      <c r="P28" s="154">
        <f>IF($O$33="Lineal",$O$30+('[3]glosario parametros'!L8*$P$33), IF($O$30=0,$O$30+0.01,$O$30)*($P$33^'[3]glosario parametros'!L8))</f>
        <v>0.22387096774193549</v>
      </c>
      <c r="Q28" s="155">
        <f>IF($O$33="Lineal",$O$30+('[3]glosario parametros'!M8*$P$33), IF($O$30=0,$O$30+0.01,$O$30)*($P$33^'[3]glosario parametros'!M8))</f>
        <v>0.32451612903225807</v>
      </c>
      <c r="R28" s="133"/>
      <c r="S28" s="165">
        <f>IF($T$33="Lineal",$T$30+('[3]glosario parametros'!Q8*$U$33), $T$30*($U$33^'[3]glosario parametros'!Q8))</f>
        <v>0.37404861952633905</v>
      </c>
      <c r="T28" s="166">
        <f>IF($T$33="Lineal",$T$30+('[3]glosario parametros'!R8*$U$33), $T$30*($U$33^'[3]glosario parametros'!R8))</f>
        <v>0.21871198175172224</v>
      </c>
      <c r="U28" s="166">
        <f>IF($T$33="Lineal",$T$30+('[3]glosario parametros'!S8*$U$33), $T$30*($U$33^'[3]glosario parametros'!S8))</f>
        <v>0.12788426013265194</v>
      </c>
      <c r="V28" s="167">
        <f>IF($T$33="Lineal",$T$30+('[3]glosario parametros'!T8*$U$33), $T$30*($U$33^'[3]glosario parametros'!T8))</f>
        <v>7.4775894117410438E-2</v>
      </c>
      <c r="W28" s="76"/>
      <c r="X28" s="76"/>
      <c r="Y28" s="76"/>
      <c r="Z28" s="76"/>
      <c r="AA28" s="76"/>
    </row>
    <row r="29" spans="1:32" ht="12.75" customHeight="1" thickBot="1">
      <c r="A29" s="326">
        <v>1000</v>
      </c>
      <c r="B29" s="76" t="s">
        <v>328</v>
      </c>
      <c r="C29" s="168">
        <f>IF($D$33="Lineal",$D$30+('[3]glosario parametros'!P9*$E$33), $D$30*($E$33^'[3]glosario parametros'!P9))</f>
        <v>0.2</v>
      </c>
      <c r="D29" s="169">
        <f>IF($D$33="Lineal",$D$30+('[3]glosario parametros'!Q9*$E$33), $D$30*($E$33^'[3]glosario parametros'!Q9))</f>
        <v>0.16307692307692309</v>
      </c>
      <c r="E29" s="169">
        <f>IF($D$33="Lineal",$D$30+('[3]glosario parametros'!R9*$E$33), $D$30*($E$33^'[3]glosario parametros'!R9))</f>
        <v>0.12615384615384617</v>
      </c>
      <c r="F29" s="169">
        <f>IF($D$33="Lineal",$D$30+('[3]glosario parametros'!S9*$E$33), $D$30*($E$33^'[3]glosario parametros'!S9))</f>
        <v>8.9230769230769238E-2</v>
      </c>
      <c r="G29" s="170">
        <f>IF($D$33="Lineal",$D$30+('[3]glosario parametros'!T9*$E$33), $D$30*($E$33^'[3]glosario parametros'!T9))</f>
        <v>5.2307692307692305E-2</v>
      </c>
      <c r="H29" s="133"/>
      <c r="I29" s="171">
        <f>IF($J$33="Lineal",$J$30+('[3]glosario parametros'!Q9*$K$33), $J$30*($K$33^'[3]glosario parametros'!Q9))</f>
        <v>59.999999999999929</v>
      </c>
      <c r="J29" s="172">
        <f>IF($J$33="Lineal",$J$30+('[3]glosario parametros'!R9*$K$33), $J$30*($K$33^'[3]glosario parametros'!R9))</f>
        <v>39.606995080590536</v>
      </c>
      <c r="K29" s="172">
        <f>IF($J$33="Lineal",$J$30+('[3]glosario parametros'!S9*$K$33), $J$30*($K$33^'[3]glosario parametros'!S9))</f>
        <v>26.145234321898755</v>
      </c>
      <c r="L29" s="173">
        <f>IF($J$33="Lineal",$J$30+('[3]glosario parametros'!T9*$K$33), $J$30*($K$33^'[3]glosario parametros'!T9))</f>
        <v>17.258902786138869</v>
      </c>
      <c r="M29" s="152"/>
      <c r="N29" s="174">
        <f>IF($O$33="Lineal",$O$30+('[3]glosario parametros'!J9*$P$33), IF($O$30=0,$O$30+0.01,$O$30)*($P$33^'[3]glosario parametros'!J9))</f>
        <v>0.01</v>
      </c>
      <c r="O29" s="175">
        <f>IF($O$33="Lineal",$O$30+('[3]glosario parametros'!K9*$P$33), IF($O$30=0,$O$30+0.01,$O$30)*($P$33^'[3]glosario parametros'!K9))</f>
        <v>0.11064516129032258</v>
      </c>
      <c r="P29" s="175">
        <f>IF($O$33="Lineal",$O$30+('[3]glosario parametros'!L9*$P$33), IF($O$30=0,$O$30+0.01,$O$30)*($P$33^'[3]glosario parametros'!L9))</f>
        <v>0.21129032258064517</v>
      </c>
      <c r="Q29" s="176">
        <f>IF($O$33="Lineal",$O$30+('[3]glosario parametros'!M9*$P$33), IF($O$30=0,$O$30+0.01,$O$30)*($P$33^'[3]glosario parametros'!M9))</f>
        <v>0.31193548387096776</v>
      </c>
      <c r="R29" s="133"/>
      <c r="S29" s="177">
        <f>IF($T$33="Lineal",$T$30+('[3]glosario parametros'!Q9*$U$33), $T$30*($U$33^'[3]glosario parametros'!Q9))</f>
        <v>0.4000000000000003</v>
      </c>
      <c r="T29" s="178">
        <f>IF($T$33="Lineal",$T$30+('[3]glosario parametros'!R9*$U$33), $T$30*($U$33^'[3]glosario parametros'!R9))</f>
        <v>0.23388615311953753</v>
      </c>
      <c r="U29" s="178">
        <f>IF($T$33="Lineal",$T$30+('[3]glosario parametros'!S9*$U$33), $T$30*($U$33^'[3]glosario parametros'!S9))</f>
        <v>0.13675683155263926</v>
      </c>
      <c r="V29" s="179">
        <f>IF($T$33="Lineal",$T$30+('[3]glosario parametros'!T9*$U$33), $T$30*($U$33^'[3]glosario parametros'!T9))</f>
        <v>7.9963823111658422E-2</v>
      </c>
      <c r="W29" s="76"/>
      <c r="X29" s="76"/>
      <c r="Y29" s="76"/>
      <c r="Z29" s="76"/>
      <c r="AA29" s="76"/>
    </row>
    <row r="30" spans="1:32" ht="12.75" customHeight="1">
      <c r="A30" s="76"/>
      <c r="B30" s="76"/>
      <c r="C30" s="76" t="s">
        <v>329</v>
      </c>
      <c r="D30" s="122">
        <v>0.02</v>
      </c>
      <c r="E30" s="76"/>
      <c r="F30" s="76"/>
      <c r="G30" s="76"/>
      <c r="H30" s="76"/>
      <c r="I30" s="76" t="s">
        <v>329</v>
      </c>
      <c r="J30" s="132">
        <v>12</v>
      </c>
      <c r="K30" s="76"/>
      <c r="L30" s="76"/>
      <c r="M30" s="76"/>
      <c r="N30" s="76" t="s">
        <v>329</v>
      </c>
      <c r="O30" s="123">
        <v>0.01</v>
      </c>
      <c r="P30" s="76"/>
      <c r="Q30" s="76"/>
      <c r="R30" s="76"/>
      <c r="S30" s="76" t="s">
        <v>329</v>
      </c>
      <c r="T30" s="127">
        <v>0.05</v>
      </c>
      <c r="U30" s="76"/>
      <c r="V30" s="76"/>
      <c r="W30" s="76"/>
      <c r="X30" s="76"/>
      <c r="Y30" s="76"/>
      <c r="Z30" s="76"/>
      <c r="AA30" s="76"/>
    </row>
    <row r="31" spans="1:32" ht="12.75" customHeight="1">
      <c r="A31" s="76"/>
      <c r="B31" s="76"/>
      <c r="C31" s="128" t="s">
        <v>332</v>
      </c>
      <c r="D31" s="122">
        <v>0.2</v>
      </c>
      <c r="E31" s="76"/>
      <c r="F31" s="128"/>
      <c r="G31" s="128"/>
      <c r="H31" s="76"/>
      <c r="I31" s="128" t="s">
        <v>332</v>
      </c>
      <c r="J31" s="132">
        <v>60</v>
      </c>
      <c r="K31" s="76"/>
      <c r="L31" s="76"/>
      <c r="M31" s="76"/>
      <c r="N31" s="128" t="s">
        <v>332</v>
      </c>
      <c r="O31" s="123">
        <v>0.4</v>
      </c>
      <c r="P31" s="76"/>
      <c r="Q31" s="76"/>
      <c r="R31" s="76"/>
      <c r="S31" s="128" t="s">
        <v>332</v>
      </c>
      <c r="T31" s="87">
        <v>0.4</v>
      </c>
      <c r="U31" s="130"/>
      <c r="V31" s="76"/>
      <c r="W31" s="76"/>
      <c r="X31" s="76"/>
      <c r="Y31" s="76"/>
      <c r="Z31" s="76"/>
      <c r="AA31" s="76"/>
    </row>
    <row r="32" spans="1:32" ht="12.75" customHeight="1">
      <c r="A32" s="76"/>
      <c r="B32" s="76"/>
      <c r="C32" s="128" t="s">
        <v>63</v>
      </c>
      <c r="D32" s="122" t="s">
        <v>334</v>
      </c>
      <c r="E32" s="76"/>
      <c r="F32" s="128"/>
      <c r="G32" s="128"/>
      <c r="H32" s="76"/>
      <c r="I32" s="128" t="s">
        <v>63</v>
      </c>
      <c r="J32" s="122" t="s">
        <v>334</v>
      </c>
      <c r="K32" s="76"/>
      <c r="L32" s="76"/>
      <c r="M32" s="76"/>
      <c r="N32" s="128" t="s">
        <v>63</v>
      </c>
      <c r="O32" s="122" t="s">
        <v>335</v>
      </c>
      <c r="P32" s="76"/>
      <c r="Q32" s="76"/>
      <c r="R32" s="76"/>
      <c r="S32" s="128" t="s">
        <v>63</v>
      </c>
      <c r="T32" s="122" t="s">
        <v>334</v>
      </c>
      <c r="U32" s="131"/>
      <c r="V32" s="76"/>
      <c r="W32" s="76"/>
      <c r="X32" s="76"/>
      <c r="Y32" s="76"/>
      <c r="Z32" s="76"/>
      <c r="AA32" s="76"/>
    </row>
    <row r="33" spans="1:32" ht="12.75" customHeight="1">
      <c r="A33" s="76"/>
      <c r="C33" s="128" t="s">
        <v>337</v>
      </c>
      <c r="D33" s="122" t="s">
        <v>338</v>
      </c>
      <c r="E33" s="76">
        <f>IF(D33="Lineal",(D31-D30)/((8*COUNTA(C21:G21))-1),(D31/D30)^(1/((8*COUNTA(C21:G21))-1)))</f>
        <v>4.6153846153846158E-3</v>
      </c>
      <c r="F33" s="128"/>
      <c r="G33" s="128"/>
      <c r="H33" s="76"/>
      <c r="I33" s="128" t="s">
        <v>337</v>
      </c>
      <c r="J33" s="122" t="s">
        <v>339</v>
      </c>
      <c r="K33" s="76">
        <f>IF(J33="Lineal",(J31-J30)/((8*COUNTA(I21:M21))-1),(J31/J30)^(1/((8*COUNTA(I21:L21))-1)))</f>
        <v>1.0532886867272904</v>
      </c>
      <c r="L33" s="76"/>
      <c r="M33" s="76"/>
      <c r="N33" s="128" t="s">
        <v>337</v>
      </c>
      <c r="O33" s="122" t="s">
        <v>338</v>
      </c>
      <c r="P33" s="76">
        <f>IF(O33="Lineal",(O31-O30)/((8*COUNTA(N21:Q21))-1),(IF(O30=0,O31,O31/O30))^(1/((8*COUNTA(N21:Q21))-1)))</f>
        <v>1.2580645161290323E-2</v>
      </c>
      <c r="Q33" s="76"/>
      <c r="R33" s="76"/>
      <c r="S33" s="128" t="s">
        <v>337</v>
      </c>
      <c r="T33" s="122" t="s">
        <v>339</v>
      </c>
      <c r="U33" s="76">
        <f>IF(T33="Lineal",(T31-T30)/((8*COUNTA(S21:V21))-1),(T31/T30)^(1/((8*COUNTA(S21:V21))-1)))</f>
        <v>1.0693796985710673</v>
      </c>
      <c r="V33" s="76"/>
      <c r="W33" s="76"/>
      <c r="X33" s="76"/>
      <c r="Y33" s="76"/>
      <c r="Z33" s="76"/>
      <c r="AA33" s="76"/>
    </row>
    <row r="34" spans="1:32" ht="12.75" customHeight="1">
      <c r="A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T34" s="131"/>
      <c r="U34" s="131"/>
      <c r="V34" s="76"/>
      <c r="W34" s="76"/>
      <c r="X34" s="76"/>
      <c r="Y34" s="76"/>
      <c r="Z34" s="76"/>
      <c r="AA34" s="76"/>
    </row>
    <row r="35" spans="1:32" ht="12.75" customHeight="1">
      <c r="A35" s="76"/>
      <c r="C35" s="132"/>
      <c r="D35" s="132"/>
      <c r="E35" s="132"/>
      <c r="F35" s="132"/>
      <c r="G35" s="132"/>
      <c r="H35" s="76"/>
      <c r="I35" s="132"/>
      <c r="J35" s="132"/>
      <c r="K35" s="132"/>
      <c r="L35" s="132"/>
      <c r="M35" s="132"/>
      <c r="N35" s="76"/>
      <c r="O35" s="76"/>
      <c r="P35" s="76"/>
      <c r="Q35" s="76"/>
      <c r="R35" s="132"/>
      <c r="T35" s="131"/>
      <c r="U35" s="131"/>
      <c r="V35" s="76"/>
      <c r="W35" s="76"/>
      <c r="X35" s="76"/>
      <c r="Y35" s="76"/>
      <c r="Z35" s="76"/>
      <c r="AA35" s="76"/>
    </row>
    <row r="36" spans="1:32" ht="12.75" customHeight="1">
      <c r="A36" s="76"/>
      <c r="C36" s="132"/>
      <c r="D36" s="132"/>
      <c r="E36" s="132"/>
      <c r="F36" s="132"/>
      <c r="G36" s="132"/>
      <c r="H36" s="76"/>
      <c r="I36" s="132"/>
      <c r="J36" s="132"/>
      <c r="K36" s="132"/>
      <c r="L36" s="132"/>
      <c r="M36" s="132"/>
      <c r="N36" s="76"/>
      <c r="O36" s="76"/>
      <c r="P36" s="76"/>
      <c r="Q36" s="76"/>
      <c r="R36" s="132"/>
      <c r="S36" s="76"/>
      <c r="T36" s="76"/>
      <c r="U36" s="76"/>
      <c r="V36" s="76"/>
      <c r="W36" s="76"/>
      <c r="X36" s="76"/>
      <c r="Y36" s="76"/>
      <c r="Z36" s="76"/>
      <c r="AA36" s="76"/>
    </row>
    <row r="37" spans="1:32" ht="12.75" customHeight="1">
      <c r="A37" s="76"/>
      <c r="C37" s="132"/>
      <c r="D37" s="76"/>
      <c r="E37" s="132"/>
      <c r="G37" s="132"/>
      <c r="H37" s="76"/>
      <c r="I37" s="132"/>
      <c r="J37" s="132"/>
      <c r="K37" s="132"/>
      <c r="L37" s="132"/>
      <c r="M37" s="132"/>
      <c r="N37" s="76"/>
      <c r="O37" s="76"/>
      <c r="P37" s="76"/>
      <c r="Q37" s="76"/>
      <c r="R37" s="132"/>
      <c r="S37" s="76"/>
      <c r="T37" s="76"/>
      <c r="U37" s="76"/>
      <c r="V37" s="76"/>
      <c r="W37" s="76"/>
      <c r="X37" s="76"/>
      <c r="Y37" s="76"/>
      <c r="Z37" s="76"/>
      <c r="AA37" s="76"/>
    </row>
    <row r="38" spans="1:32" ht="12.75" customHeight="1">
      <c r="A38" s="76"/>
      <c r="C38" s="132"/>
      <c r="D38" s="76"/>
      <c r="E38" s="132"/>
      <c r="G38" s="132"/>
      <c r="H38" s="76"/>
      <c r="I38" s="132"/>
      <c r="J38" s="132"/>
      <c r="K38" s="132"/>
      <c r="L38" s="132"/>
      <c r="M38" s="132"/>
      <c r="N38" s="76"/>
      <c r="O38" s="76"/>
      <c r="P38" s="76"/>
      <c r="Q38" s="76"/>
      <c r="R38" s="132"/>
      <c r="S38" s="76"/>
      <c r="T38" s="76"/>
      <c r="U38" s="76"/>
      <c r="V38" s="76"/>
      <c r="W38" s="76"/>
      <c r="X38" s="76"/>
      <c r="Y38" s="76"/>
      <c r="Z38" s="76"/>
      <c r="AA38" s="76"/>
    </row>
    <row r="39" spans="1:32" ht="12.75" customHeight="1">
      <c r="A39" s="76"/>
      <c r="C39" s="132"/>
      <c r="D39" s="76"/>
      <c r="E39" s="132"/>
      <c r="G39" s="132"/>
      <c r="H39" s="76"/>
      <c r="I39" s="132"/>
      <c r="J39" s="132"/>
      <c r="K39" s="132"/>
      <c r="L39" s="132"/>
      <c r="M39" s="132"/>
      <c r="N39" s="76"/>
      <c r="O39" s="76"/>
      <c r="P39" s="76"/>
      <c r="Q39" s="76"/>
      <c r="R39" s="132"/>
      <c r="S39" s="76"/>
      <c r="T39" s="76"/>
      <c r="U39" s="76"/>
      <c r="V39" s="76"/>
      <c r="W39" s="76"/>
      <c r="X39" s="76"/>
      <c r="Y39" s="76"/>
      <c r="Z39" s="76"/>
      <c r="AA39" s="76"/>
    </row>
    <row r="40" spans="1:32" ht="12.75" customHeight="1">
      <c r="A40" s="76"/>
      <c r="C40" s="132"/>
      <c r="D40" s="76"/>
      <c r="E40" s="132"/>
      <c r="G40" s="132"/>
      <c r="H40" s="76"/>
      <c r="I40" s="132"/>
      <c r="J40" s="132"/>
      <c r="K40" s="132"/>
      <c r="L40" s="132"/>
      <c r="M40" s="132"/>
      <c r="N40" s="76"/>
      <c r="O40" s="76"/>
      <c r="P40" s="76"/>
      <c r="Q40" s="76"/>
      <c r="R40" s="132"/>
      <c r="S40" s="76"/>
      <c r="T40" s="76"/>
      <c r="U40" s="76"/>
      <c r="V40" s="76"/>
      <c r="W40" s="76"/>
      <c r="X40" s="76"/>
      <c r="Y40" s="76"/>
      <c r="Z40" s="76"/>
      <c r="AA40" s="76"/>
    </row>
    <row r="41" spans="1:32" ht="12.75" customHeight="1">
      <c r="A41" s="76"/>
      <c r="B41" s="76"/>
      <c r="C41" s="132"/>
      <c r="D41" s="76"/>
      <c r="E41" s="132"/>
      <c r="G41" s="132"/>
      <c r="H41" s="76"/>
      <c r="I41" s="132"/>
      <c r="J41" s="132"/>
      <c r="K41" s="132"/>
      <c r="L41" s="132"/>
      <c r="M41" s="132"/>
      <c r="N41" s="76"/>
      <c r="O41" s="76"/>
      <c r="P41" s="76"/>
      <c r="Q41" s="76"/>
      <c r="R41" s="132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</row>
    <row r="42" spans="1:32" ht="12.75" customHeight="1">
      <c r="A42" s="76"/>
      <c r="B42" s="76"/>
      <c r="C42" s="132"/>
      <c r="D42" s="76"/>
      <c r="E42" s="132"/>
      <c r="G42" s="132"/>
      <c r="H42" s="76"/>
      <c r="I42" s="132"/>
      <c r="J42" s="132"/>
      <c r="K42" s="132"/>
      <c r="L42" s="132"/>
      <c r="M42" s="132"/>
      <c r="N42" s="76"/>
      <c r="O42" s="76"/>
      <c r="P42" s="76"/>
      <c r="Q42" s="76"/>
      <c r="R42" s="132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</row>
    <row r="43" spans="1:32" ht="12.75" customHeight="1">
      <c r="A43" s="76"/>
      <c r="B43" s="76"/>
      <c r="D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</row>
    <row r="44" spans="1:32" ht="12.75" customHeight="1">
      <c r="A44" s="76"/>
      <c r="B44" s="76"/>
      <c r="C44" s="129"/>
      <c r="D44" s="76"/>
      <c r="E44" s="129"/>
      <c r="G44" s="76"/>
      <c r="H44" s="76"/>
      <c r="I44" s="129"/>
      <c r="J44" s="129"/>
      <c r="K44" s="129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</row>
    <row r="45" spans="1:32" ht="12.7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</row>
    <row r="46" spans="1:32" ht="12.75" customHeight="1">
      <c r="A46" s="76"/>
      <c r="B46" s="76"/>
      <c r="C46" s="122"/>
      <c r="D46" s="122"/>
      <c r="E46" s="122"/>
      <c r="F46" s="122"/>
      <c r="G46" s="122"/>
      <c r="H46" s="76"/>
      <c r="I46" s="122"/>
      <c r="J46" s="122"/>
      <c r="K46" s="122"/>
      <c r="L46" s="122"/>
      <c r="M46" s="122"/>
      <c r="N46" s="76"/>
      <c r="O46" s="76"/>
      <c r="P46" s="76"/>
      <c r="Q46" s="76"/>
      <c r="R46" s="122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</row>
    <row r="47" spans="1:32" ht="12.75" customHeight="1">
      <c r="A47" s="76"/>
      <c r="B47" s="76"/>
      <c r="C47" s="122"/>
      <c r="D47" s="122"/>
      <c r="E47" s="122"/>
      <c r="F47" s="122"/>
      <c r="G47" s="122"/>
      <c r="H47" s="76"/>
      <c r="I47" s="122"/>
      <c r="J47" s="122"/>
      <c r="K47" s="122"/>
      <c r="L47" s="122"/>
      <c r="M47" s="122"/>
      <c r="N47" s="76"/>
      <c r="O47" s="76"/>
      <c r="P47" s="76"/>
      <c r="Q47" s="76"/>
      <c r="R47" s="122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</row>
    <row r="48" spans="1:32" ht="12.75" customHeight="1">
      <c r="A48" s="76"/>
      <c r="B48" s="76"/>
      <c r="C48" s="122"/>
      <c r="D48" s="122"/>
      <c r="E48" s="122"/>
      <c r="F48" s="122"/>
      <c r="G48" s="122"/>
      <c r="H48" s="76"/>
      <c r="I48" s="122"/>
      <c r="J48" s="122"/>
      <c r="K48" s="122"/>
      <c r="L48" s="122"/>
      <c r="M48" s="122"/>
      <c r="N48" s="76"/>
      <c r="O48" s="76"/>
      <c r="P48" s="76"/>
      <c r="Q48" s="76"/>
      <c r="R48" s="122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</row>
    <row r="49" spans="1:32" ht="12.75" customHeight="1">
      <c r="A49" s="76"/>
      <c r="B49" s="76"/>
      <c r="C49" s="122"/>
      <c r="D49" s="122"/>
      <c r="E49" s="122"/>
      <c r="F49" s="122"/>
      <c r="G49" s="122"/>
      <c r="H49" s="76"/>
      <c r="I49" s="122"/>
      <c r="J49" s="122"/>
      <c r="K49" s="122"/>
      <c r="L49" s="122"/>
      <c r="M49" s="122"/>
      <c r="N49" s="76"/>
      <c r="O49" s="76"/>
      <c r="P49" s="76"/>
      <c r="Q49" s="76"/>
      <c r="R49" s="122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</row>
    <row r="50" spans="1:32" ht="12.75" customHeight="1">
      <c r="A50" s="76"/>
      <c r="B50" s="76"/>
      <c r="C50" s="122"/>
      <c r="D50" s="122"/>
      <c r="E50" s="122"/>
      <c r="F50" s="122"/>
      <c r="G50" s="122"/>
      <c r="H50" s="76"/>
      <c r="I50" s="122"/>
      <c r="J50" s="122"/>
      <c r="K50" s="122"/>
      <c r="L50" s="122"/>
      <c r="M50" s="122"/>
      <c r="N50" s="76"/>
      <c r="O50" s="76"/>
      <c r="P50" s="76"/>
      <c r="Q50" s="76"/>
      <c r="R50" s="122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</row>
    <row r="51" spans="1:32" ht="12.75" customHeight="1">
      <c r="A51" s="76"/>
      <c r="B51" s="76"/>
      <c r="C51" s="122"/>
      <c r="D51" s="122"/>
      <c r="E51" s="122"/>
      <c r="F51" s="122"/>
      <c r="G51" s="122"/>
      <c r="H51" s="76"/>
      <c r="I51" s="122"/>
      <c r="J51" s="122"/>
      <c r="K51" s="122"/>
      <c r="L51" s="122"/>
      <c r="M51" s="122"/>
      <c r="N51" s="76"/>
      <c r="O51" s="76"/>
      <c r="P51" s="76"/>
      <c r="Q51" s="76"/>
      <c r="R51" s="122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</row>
    <row r="52" spans="1:32" ht="12.75" customHeight="1">
      <c r="A52" s="76"/>
      <c r="B52" s="76"/>
      <c r="C52" s="122"/>
      <c r="D52" s="122"/>
      <c r="E52" s="122"/>
      <c r="F52" s="122"/>
      <c r="G52" s="122"/>
      <c r="H52" s="76"/>
      <c r="I52" s="122"/>
      <c r="J52" s="122"/>
      <c r="K52" s="122"/>
      <c r="L52" s="122"/>
      <c r="M52" s="122"/>
      <c r="N52" s="76"/>
      <c r="O52" s="76"/>
      <c r="P52" s="76"/>
      <c r="Q52" s="76"/>
      <c r="R52" s="122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</row>
    <row r="53" spans="1:32" ht="12.75" customHeight="1">
      <c r="A53" s="76"/>
      <c r="B53" s="76"/>
      <c r="C53" s="122"/>
      <c r="D53" s="122"/>
      <c r="E53" s="122"/>
      <c r="F53" s="122"/>
      <c r="G53" s="122"/>
      <c r="H53" s="76"/>
      <c r="I53" s="122"/>
      <c r="J53" s="122"/>
      <c r="K53" s="122"/>
      <c r="L53" s="122"/>
      <c r="M53" s="122"/>
      <c r="N53" s="76"/>
      <c r="O53" s="76"/>
      <c r="P53" s="76"/>
      <c r="Q53" s="76"/>
      <c r="R53" s="122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</row>
    <row r="54" spans="1:32" ht="12.75" customHeight="1">
      <c r="A54" s="76"/>
      <c r="B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</row>
    <row r="55" spans="1:32" ht="12.7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</row>
    <row r="56" spans="1:32" ht="12.7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</row>
    <row r="57" spans="1:32" ht="12.7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</row>
    <row r="58" spans="1:32" ht="12.7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</row>
    <row r="59" spans="1:32" ht="12.7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</row>
    <row r="60" spans="1:32" ht="12.7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</row>
    <row r="61" spans="1:32" ht="12.7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</row>
    <row r="62" spans="1:32" ht="12.7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</row>
    <row r="63" spans="1:32" ht="12.7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</row>
    <row r="64" spans="1:32" ht="12.7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</row>
    <row r="65" spans="1:32" ht="12.7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</row>
    <row r="66" spans="1:32" ht="12.7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</row>
    <row r="67" spans="1:32" ht="12.7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</row>
    <row r="68" spans="1:32" ht="12.7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</row>
    <row r="69" spans="1:32" ht="12.7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</row>
    <row r="70" spans="1:32" ht="12.7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</row>
    <row r="71" spans="1:32" ht="12.7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</row>
    <row r="72" spans="1:32" ht="12.7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</row>
    <row r="73" spans="1:32" ht="12.7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</row>
    <row r="74" spans="1:32" ht="12.7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</row>
    <row r="75" spans="1:32" ht="12.7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</row>
    <row r="76" spans="1:32" ht="12.7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</row>
    <row r="77" spans="1:32" ht="12.7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</row>
    <row r="78" spans="1:32" ht="12.7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</row>
    <row r="79" spans="1:32" ht="12.7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</row>
    <row r="80" spans="1:32" ht="12.7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</row>
    <row r="81" spans="1:32" ht="12.7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</row>
    <row r="82" spans="1:32" ht="12.7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</row>
    <row r="83" spans="1:32" ht="12.7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</row>
    <row r="84" spans="1:32" ht="12.7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</row>
    <row r="85" spans="1:32" ht="12.7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</row>
    <row r="86" spans="1:32" ht="12.7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</row>
    <row r="87" spans="1:32" ht="12.7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</row>
    <row r="88" spans="1:32" ht="12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</row>
    <row r="89" spans="1:32" ht="12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</row>
    <row r="90" spans="1:32" ht="12.7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</row>
    <row r="91" spans="1:32" ht="12.7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</row>
    <row r="92" spans="1:32" ht="12.7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</row>
    <row r="93" spans="1:32" ht="12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</row>
    <row r="94" spans="1:32" ht="12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</row>
    <row r="95" spans="1:32" ht="12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</row>
    <row r="96" spans="1:32" ht="12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</row>
    <row r="97" spans="1:32" ht="12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</row>
    <row r="98" spans="1:32" ht="12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</row>
    <row r="99" spans="1:32" ht="12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</row>
    <row r="100" spans="1:32" ht="12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</row>
    <row r="101" spans="1:32" ht="12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</row>
    <row r="102" spans="1:32" ht="12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</row>
    <row r="103" spans="1:32" ht="12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</row>
    <row r="104" spans="1:32" ht="12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</row>
    <row r="105" spans="1:32" ht="12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</row>
    <row r="106" spans="1:32" ht="12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</row>
    <row r="107" spans="1:32" ht="12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</row>
    <row r="108" spans="1:32" ht="12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</row>
    <row r="109" spans="1:32" ht="12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</row>
    <row r="110" spans="1:32" ht="12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</row>
    <row r="111" spans="1:32" ht="12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</row>
    <row r="112" spans="1:32" ht="12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</row>
    <row r="113" spans="1:32" ht="12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</row>
    <row r="114" spans="1:32" ht="12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</row>
    <row r="115" spans="1:32" ht="12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</row>
    <row r="116" spans="1:32" ht="12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</row>
    <row r="117" spans="1:32" ht="12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</row>
    <row r="118" spans="1:32" ht="12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</row>
    <row r="119" spans="1:32" ht="12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</row>
    <row r="120" spans="1:32" ht="12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</row>
    <row r="121" spans="1:32" ht="12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</row>
    <row r="122" spans="1:32" ht="12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</row>
    <row r="123" spans="1:32" ht="12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</row>
    <row r="124" spans="1:32" ht="12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</row>
    <row r="125" spans="1:32" ht="12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</row>
    <row r="126" spans="1:32" ht="12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</row>
    <row r="127" spans="1:32" ht="12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</row>
    <row r="128" spans="1:32" ht="12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</row>
    <row r="129" spans="1:32" ht="12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</row>
    <row r="130" spans="1:32" ht="12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</row>
    <row r="131" spans="1:32" ht="12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</row>
    <row r="132" spans="1:32" ht="12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</row>
    <row r="133" spans="1:32" ht="12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</row>
    <row r="134" spans="1:32" ht="12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</row>
    <row r="135" spans="1:32" ht="12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</row>
    <row r="136" spans="1:32" ht="12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</row>
    <row r="137" spans="1:32" ht="12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</row>
    <row r="138" spans="1:32" ht="12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</row>
    <row r="139" spans="1:32" ht="12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</row>
    <row r="140" spans="1:32" ht="12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</row>
    <row r="141" spans="1:32" ht="12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</row>
    <row r="142" spans="1:32" ht="12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</row>
    <row r="143" spans="1:32" ht="12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</row>
    <row r="144" spans="1:32" ht="12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</row>
    <row r="145" spans="1:32" ht="12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</row>
    <row r="146" spans="1:32" ht="12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</row>
    <row r="147" spans="1:32" ht="12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</row>
    <row r="148" spans="1:32" ht="12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</row>
    <row r="149" spans="1:32" ht="12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</row>
    <row r="150" spans="1:32" ht="12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</row>
    <row r="151" spans="1:32" ht="12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</row>
    <row r="152" spans="1:32" ht="12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</row>
    <row r="153" spans="1:32" ht="12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</row>
    <row r="154" spans="1:32" ht="12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</row>
    <row r="155" spans="1:32" ht="12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</row>
    <row r="156" spans="1:32" ht="12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</row>
    <row r="157" spans="1:32" ht="12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</row>
    <row r="158" spans="1:32" ht="12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</row>
    <row r="159" spans="1:32" ht="12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</row>
    <row r="160" spans="1:32" ht="12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</row>
    <row r="161" spans="1:32" ht="12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</row>
    <row r="162" spans="1:32" ht="12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</row>
    <row r="163" spans="1:32" ht="12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</row>
    <row r="164" spans="1:32" ht="12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</row>
    <row r="165" spans="1:32" ht="12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</row>
    <row r="166" spans="1:32" ht="12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</row>
    <row r="167" spans="1:32" ht="12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</row>
    <row r="168" spans="1:32" ht="12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</row>
    <row r="169" spans="1:32" ht="12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</row>
    <row r="170" spans="1:32" ht="12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</row>
    <row r="171" spans="1:32" ht="12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</row>
    <row r="172" spans="1:32" ht="12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</row>
    <row r="173" spans="1:32" ht="12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</row>
    <row r="174" spans="1:32" ht="12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</row>
    <row r="175" spans="1:32" ht="12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</row>
    <row r="176" spans="1:32" ht="12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</row>
    <row r="177" spans="1:32" ht="12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</row>
    <row r="178" spans="1:32" ht="12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</row>
    <row r="179" spans="1:32" ht="12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</row>
    <row r="180" spans="1:32" ht="12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</row>
    <row r="181" spans="1:32" ht="12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</row>
    <row r="182" spans="1:32" ht="12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</row>
    <row r="183" spans="1:32" ht="12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</row>
    <row r="184" spans="1:32" ht="12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</row>
    <row r="185" spans="1:32" ht="12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</row>
    <row r="186" spans="1:32" ht="12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</row>
    <row r="187" spans="1:32" ht="12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</row>
    <row r="188" spans="1:32" ht="12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</row>
    <row r="189" spans="1:32" ht="12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</row>
    <row r="190" spans="1:32" ht="12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</row>
    <row r="191" spans="1:32" ht="12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</row>
    <row r="192" spans="1:32" ht="12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</row>
    <row r="193" spans="1:32" ht="12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</row>
    <row r="194" spans="1:32" ht="12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</row>
    <row r="195" spans="1:32" ht="12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</row>
    <row r="196" spans="1:32" ht="12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</row>
    <row r="197" spans="1:32" ht="12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</row>
    <row r="198" spans="1:32" ht="12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</row>
    <row r="199" spans="1:32" ht="12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</row>
    <row r="200" spans="1:32" ht="12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</row>
    <row r="201" spans="1:32" ht="12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</row>
    <row r="202" spans="1:32" ht="12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</row>
    <row r="203" spans="1:32" ht="12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</row>
    <row r="204" spans="1:32" ht="12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</row>
    <row r="205" spans="1:32" ht="12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</row>
    <row r="206" spans="1:32" ht="12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</row>
    <row r="207" spans="1:32" ht="12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</row>
    <row r="208" spans="1:32" ht="12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</row>
    <row r="209" spans="1:32" ht="12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</row>
    <row r="210" spans="1:32" ht="12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</row>
    <row r="211" spans="1:32" ht="12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</row>
    <row r="212" spans="1:32" ht="12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</row>
    <row r="213" spans="1:32" ht="12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</row>
    <row r="214" spans="1:32" ht="12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</row>
    <row r="215" spans="1:32" ht="12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</row>
    <row r="216" spans="1:32" ht="12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</row>
    <row r="217" spans="1:32" ht="12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</row>
    <row r="218" spans="1:32" ht="12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</row>
    <row r="219" spans="1:32" ht="12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</row>
    <row r="220" spans="1:32" ht="12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</row>
    <row r="221" spans="1:32" ht="12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</row>
    <row r="222" spans="1:32" ht="12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</row>
    <row r="223" spans="1:32" ht="12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</row>
    <row r="224" spans="1:32" ht="12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</row>
    <row r="225" spans="1:32" ht="12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</row>
    <row r="226" spans="1:32" ht="12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</row>
    <row r="227" spans="1:32" ht="12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</row>
    <row r="228" spans="1:32" ht="12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</row>
    <row r="229" spans="1:32" ht="12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</row>
    <row r="230" spans="1:32" ht="12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</row>
    <row r="231" spans="1:32" ht="12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</row>
    <row r="232" spans="1:32" ht="12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</row>
    <row r="233" spans="1:32" ht="12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</row>
    <row r="234" spans="1:32" ht="12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</row>
    <row r="235" spans="1:32" ht="12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</row>
    <row r="236" spans="1:32" ht="12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</row>
    <row r="237" spans="1:32" ht="12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</row>
    <row r="238" spans="1:32" ht="12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</row>
    <row r="239" spans="1:32" ht="12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</row>
    <row r="240" spans="1:32" ht="12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</row>
    <row r="241" spans="1:32" ht="12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</row>
    <row r="242" spans="1:32" ht="12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</row>
    <row r="243" spans="1:32" ht="12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</row>
    <row r="244" spans="1:32" ht="12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</row>
    <row r="245" spans="1:32" ht="12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</row>
    <row r="246" spans="1:32" ht="12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</row>
    <row r="247" spans="1:32" ht="12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</row>
    <row r="248" spans="1:32" ht="12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</row>
    <row r="249" spans="1:32" ht="12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</row>
    <row r="250" spans="1:32" ht="12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</row>
    <row r="251" spans="1:32" ht="12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</row>
    <row r="252" spans="1:32" ht="12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</row>
    <row r="253" spans="1:32" ht="12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</row>
    <row r="254" spans="1:32" ht="12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</row>
    <row r="255" spans="1:32" ht="12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</row>
    <row r="256" spans="1:32" ht="12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</row>
    <row r="257" spans="1:32" ht="12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</row>
    <row r="258" spans="1:32" ht="12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</row>
    <row r="259" spans="1:32" ht="12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</row>
    <row r="260" spans="1:32" ht="12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</row>
    <row r="261" spans="1:32" ht="12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</row>
    <row r="262" spans="1:32" ht="12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</row>
    <row r="263" spans="1:32" ht="12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</row>
    <row r="264" spans="1:32" ht="12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</row>
    <row r="265" spans="1:32" ht="12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</row>
    <row r="266" spans="1:32" ht="12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</row>
    <row r="267" spans="1:32" ht="12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</row>
    <row r="268" spans="1:32" ht="12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</row>
    <row r="269" spans="1:32" ht="12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</row>
    <row r="270" spans="1:32" ht="12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</row>
    <row r="271" spans="1:32" ht="12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</row>
    <row r="272" spans="1:32" ht="12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</row>
    <row r="273" spans="1:32" ht="12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</row>
    <row r="274" spans="1:32" ht="12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</row>
    <row r="275" spans="1:32" ht="12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</row>
    <row r="276" spans="1:32" ht="12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</row>
    <row r="277" spans="1:32" ht="12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</row>
    <row r="278" spans="1:32" ht="12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</row>
    <row r="279" spans="1:32" ht="12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</row>
    <row r="280" spans="1:32" ht="12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</row>
    <row r="281" spans="1:32" ht="12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</row>
    <row r="282" spans="1:32" ht="12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</row>
    <row r="283" spans="1:32" ht="12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</row>
    <row r="284" spans="1:32" ht="12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</row>
    <row r="285" spans="1:32" ht="12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</row>
    <row r="286" spans="1:32" ht="12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</row>
    <row r="287" spans="1:32" ht="12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</row>
    <row r="288" spans="1:32" ht="12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</row>
    <row r="289" spans="1:32" ht="12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</row>
    <row r="290" spans="1:32" ht="12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</row>
    <row r="291" spans="1:32" ht="12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</row>
    <row r="292" spans="1:32" ht="12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</row>
    <row r="293" spans="1:32" ht="12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</row>
    <row r="294" spans="1:32" ht="12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</row>
    <row r="295" spans="1:32" ht="12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</row>
    <row r="296" spans="1:32" ht="12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</row>
    <row r="297" spans="1:32" ht="12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</row>
    <row r="298" spans="1:32" ht="12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</row>
    <row r="299" spans="1:32" ht="12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</row>
    <row r="300" spans="1:32" ht="12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</row>
    <row r="301" spans="1:32" ht="12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</row>
    <row r="302" spans="1:32" ht="12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</row>
    <row r="303" spans="1:32" ht="12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</row>
    <row r="304" spans="1:32" ht="12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</row>
    <row r="305" spans="1:32" ht="12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</row>
    <row r="306" spans="1:32" ht="12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</row>
    <row r="307" spans="1:32" ht="12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</row>
    <row r="308" spans="1:32" ht="12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</row>
    <row r="309" spans="1:32" ht="12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</row>
    <row r="310" spans="1:32" ht="12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</row>
    <row r="311" spans="1:32" ht="12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</row>
    <row r="312" spans="1:32" ht="12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</row>
    <row r="313" spans="1:32" ht="12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</row>
    <row r="314" spans="1:32" ht="12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</row>
    <row r="315" spans="1:32" ht="12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</row>
    <row r="316" spans="1:32" ht="12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</row>
    <row r="317" spans="1:32" ht="12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</row>
    <row r="318" spans="1:32" ht="12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</row>
    <row r="319" spans="1:32" ht="12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</row>
    <row r="320" spans="1:32" ht="12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</row>
    <row r="321" spans="1:32" ht="12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</row>
    <row r="322" spans="1:32" ht="12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</row>
    <row r="323" spans="1:32" ht="12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</row>
    <row r="324" spans="1:32" ht="12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</row>
    <row r="325" spans="1:32" ht="12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</row>
    <row r="326" spans="1:32" ht="12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</row>
    <row r="327" spans="1:32" ht="12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</row>
    <row r="328" spans="1:32" ht="12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</row>
    <row r="329" spans="1:32" ht="12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</row>
    <row r="330" spans="1:32" ht="12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</row>
    <row r="331" spans="1:32" ht="12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</row>
    <row r="332" spans="1:32" ht="12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</row>
    <row r="333" spans="1:32" ht="12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</row>
    <row r="334" spans="1:32" ht="12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</row>
    <row r="335" spans="1:32" ht="12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</row>
    <row r="336" spans="1:32" ht="12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</row>
    <row r="337" spans="1:32" ht="12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</row>
    <row r="338" spans="1:32" ht="12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</row>
    <row r="339" spans="1:32" ht="12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</row>
    <row r="340" spans="1:32" ht="12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</row>
    <row r="341" spans="1:32" ht="12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</row>
    <row r="342" spans="1:32" ht="12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</row>
    <row r="343" spans="1:32" ht="12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</row>
    <row r="344" spans="1:32" ht="12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</row>
    <row r="345" spans="1:32" ht="12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</row>
    <row r="346" spans="1:32" ht="12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</row>
    <row r="347" spans="1:32" ht="12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</row>
    <row r="348" spans="1:32" ht="12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</row>
    <row r="349" spans="1:32" ht="12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</row>
    <row r="350" spans="1:32" ht="12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</row>
    <row r="351" spans="1:32" ht="12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</row>
    <row r="352" spans="1:32" ht="12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</row>
    <row r="353" spans="1:32" ht="12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</row>
    <row r="354" spans="1:32" ht="12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</row>
    <row r="355" spans="1:32" ht="12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</row>
    <row r="356" spans="1:32" ht="12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</row>
    <row r="357" spans="1:32" ht="12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</row>
    <row r="358" spans="1:32" ht="12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</row>
    <row r="359" spans="1:32" ht="12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</row>
    <row r="360" spans="1:32" ht="12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</row>
    <row r="361" spans="1:32" ht="12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</row>
    <row r="362" spans="1:32" ht="12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</row>
    <row r="363" spans="1:32" ht="12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</row>
    <row r="364" spans="1:32" ht="12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</row>
    <row r="365" spans="1:32" ht="12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</row>
    <row r="366" spans="1:32" ht="12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</row>
    <row r="367" spans="1:32" ht="12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</row>
    <row r="368" spans="1:32" ht="12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</row>
    <row r="369" spans="1:32" ht="12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</row>
    <row r="370" spans="1:32" ht="12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</row>
    <row r="371" spans="1:32" ht="12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</row>
    <row r="372" spans="1:32" ht="12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</row>
    <row r="373" spans="1:32" ht="12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</row>
    <row r="374" spans="1:32" ht="12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</row>
    <row r="375" spans="1:32" ht="12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</row>
    <row r="376" spans="1:32" ht="12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</row>
    <row r="377" spans="1:32" ht="12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</row>
    <row r="378" spans="1:32" ht="12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</row>
    <row r="379" spans="1:32" ht="12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</row>
    <row r="380" spans="1:32" ht="12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</row>
    <row r="381" spans="1:32" ht="12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</row>
    <row r="382" spans="1:32" ht="12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</row>
    <row r="383" spans="1:32" ht="12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</row>
    <row r="384" spans="1:32" ht="12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</row>
    <row r="385" spans="1:32" ht="12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</row>
    <row r="386" spans="1:32" ht="12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</row>
    <row r="387" spans="1:32" ht="12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</row>
    <row r="388" spans="1:32" ht="12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</row>
    <row r="389" spans="1:32" ht="12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</row>
    <row r="390" spans="1:32" ht="12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</row>
    <row r="391" spans="1:32" ht="12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</row>
    <row r="392" spans="1:32" ht="12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</row>
    <row r="393" spans="1:32" ht="12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</row>
    <row r="394" spans="1:32" ht="12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</row>
    <row r="395" spans="1:32" ht="12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</row>
    <row r="396" spans="1:32" ht="12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</row>
    <row r="397" spans="1:32" ht="12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</row>
    <row r="398" spans="1:32" ht="12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</row>
    <row r="399" spans="1:32" ht="12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</row>
    <row r="400" spans="1:32" ht="12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</row>
    <row r="401" spans="1:32" ht="12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</row>
    <row r="402" spans="1:32" ht="12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</row>
    <row r="403" spans="1:32" ht="12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</row>
    <row r="404" spans="1:32" ht="12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</row>
    <row r="405" spans="1:32" ht="12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</row>
    <row r="406" spans="1:32" ht="12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</row>
    <row r="407" spans="1:32" ht="12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</row>
    <row r="408" spans="1:32" ht="12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</row>
    <row r="409" spans="1:32" ht="12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</row>
    <row r="410" spans="1:32" ht="12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</row>
    <row r="411" spans="1:32" ht="12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</row>
    <row r="412" spans="1:32" ht="12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</row>
    <row r="413" spans="1:32" ht="12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</row>
    <row r="414" spans="1:32" ht="12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</row>
    <row r="415" spans="1:32" ht="12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</row>
    <row r="416" spans="1:32" ht="12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</row>
    <row r="417" spans="1:32" ht="12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</row>
    <row r="418" spans="1:32" ht="12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</row>
    <row r="419" spans="1:32" ht="12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</row>
    <row r="420" spans="1:32" ht="12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</row>
    <row r="421" spans="1:32" ht="12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</row>
    <row r="422" spans="1:32" ht="12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</row>
    <row r="423" spans="1:32" ht="12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</row>
    <row r="424" spans="1:32" ht="12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</row>
    <row r="425" spans="1:32" ht="12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</row>
    <row r="426" spans="1:32" ht="12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</row>
    <row r="427" spans="1:32" ht="12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</row>
    <row r="428" spans="1:32" ht="12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</row>
    <row r="429" spans="1:32" ht="12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</row>
    <row r="430" spans="1:32" ht="12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</row>
    <row r="431" spans="1:32" ht="12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</row>
    <row r="432" spans="1:32" ht="12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</row>
    <row r="433" spans="1:32" ht="12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</row>
    <row r="434" spans="1:32" ht="12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</row>
    <row r="435" spans="1:32" ht="12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</row>
    <row r="436" spans="1:32" ht="12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</row>
    <row r="437" spans="1:32" ht="12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</row>
    <row r="438" spans="1:32" ht="12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</row>
    <row r="439" spans="1:32" ht="12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</row>
    <row r="440" spans="1:32" ht="12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</row>
    <row r="441" spans="1:32" ht="12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</row>
    <row r="442" spans="1:32" ht="12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</row>
    <row r="443" spans="1:32" ht="12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</row>
    <row r="444" spans="1:32" ht="12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</row>
    <row r="445" spans="1:32" ht="12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</row>
    <row r="446" spans="1:32" ht="12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</row>
    <row r="447" spans="1:32" ht="12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</row>
    <row r="448" spans="1:32" ht="12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</row>
    <row r="449" spans="1:32" ht="12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</row>
    <row r="450" spans="1:32" ht="12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</row>
    <row r="451" spans="1:32" ht="12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</row>
    <row r="452" spans="1:32" ht="12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</row>
    <row r="453" spans="1:32" ht="12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</row>
    <row r="454" spans="1:32" ht="12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</row>
    <row r="455" spans="1:32" ht="12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</row>
    <row r="456" spans="1:32" ht="12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</row>
    <row r="457" spans="1:32" ht="12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</row>
    <row r="458" spans="1:32" ht="12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</row>
    <row r="459" spans="1:32" ht="12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</row>
    <row r="460" spans="1:32" ht="12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</row>
    <row r="461" spans="1:32" ht="12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</row>
    <row r="462" spans="1:32" ht="12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</row>
    <row r="463" spans="1:32" ht="12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</row>
    <row r="464" spans="1:32" ht="12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</row>
    <row r="465" spans="1:32" ht="12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</row>
    <row r="466" spans="1:32" ht="12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</row>
    <row r="467" spans="1:32" ht="12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</row>
    <row r="468" spans="1:32" ht="12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</row>
    <row r="469" spans="1:32" ht="12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</row>
    <row r="470" spans="1:32" ht="12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</row>
    <row r="471" spans="1:32" ht="12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</row>
    <row r="472" spans="1:32" ht="12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</row>
    <row r="473" spans="1:32" ht="12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</row>
    <row r="474" spans="1:32" ht="12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</row>
    <row r="475" spans="1:32" ht="12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</row>
    <row r="476" spans="1:32" ht="12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</row>
    <row r="477" spans="1:32" ht="12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</row>
    <row r="478" spans="1:32" ht="12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</row>
    <row r="479" spans="1:32" ht="12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</row>
    <row r="480" spans="1:32" ht="12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</row>
    <row r="481" spans="1:32" ht="12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</row>
    <row r="482" spans="1:32" ht="12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</row>
    <row r="483" spans="1:32" ht="12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</row>
    <row r="484" spans="1:32" ht="12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</row>
    <row r="485" spans="1:32" ht="12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</row>
    <row r="486" spans="1:32" ht="12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</row>
    <row r="487" spans="1:32" ht="12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</row>
    <row r="488" spans="1:32" ht="12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</row>
    <row r="489" spans="1:32" ht="12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</row>
    <row r="490" spans="1:32" ht="12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</row>
    <row r="491" spans="1:32" ht="12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</row>
    <row r="492" spans="1:32" ht="12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</row>
    <row r="493" spans="1:32" ht="12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</row>
    <row r="494" spans="1:32" ht="12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</row>
    <row r="495" spans="1:32" ht="12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</row>
    <row r="496" spans="1:32" ht="12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</row>
    <row r="497" spans="1:32" ht="12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</row>
    <row r="498" spans="1:32" ht="12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</row>
    <row r="499" spans="1:32" ht="12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</row>
    <row r="500" spans="1:32" ht="12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</row>
    <row r="501" spans="1:32" ht="12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</row>
    <row r="502" spans="1:32" ht="12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</row>
    <row r="503" spans="1:32" ht="12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</row>
    <row r="504" spans="1:32" ht="12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</row>
    <row r="505" spans="1:32" ht="12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</row>
    <row r="506" spans="1:32" ht="12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</row>
    <row r="507" spans="1:32" ht="12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</row>
    <row r="508" spans="1:32" ht="12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</row>
    <row r="509" spans="1:32" ht="12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</row>
    <row r="510" spans="1:32" ht="12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</row>
    <row r="511" spans="1:32" ht="12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</row>
    <row r="512" spans="1:32" ht="12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</row>
    <row r="513" spans="1:32" ht="12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</row>
    <row r="514" spans="1:32" ht="12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</row>
    <row r="515" spans="1:32" ht="12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</row>
    <row r="516" spans="1:32" ht="12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</row>
    <row r="517" spans="1:32" ht="12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</row>
    <row r="518" spans="1:32" ht="12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</row>
    <row r="519" spans="1:32" ht="12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</row>
    <row r="520" spans="1:32" ht="12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</row>
    <row r="521" spans="1:32" ht="12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</row>
    <row r="522" spans="1:32" ht="12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</row>
    <row r="523" spans="1:32" ht="12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</row>
    <row r="524" spans="1:32" ht="12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</row>
    <row r="525" spans="1:32" ht="12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</row>
    <row r="526" spans="1:32" ht="12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</row>
    <row r="527" spans="1:32" ht="12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</row>
    <row r="528" spans="1:32" ht="12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</row>
    <row r="529" spans="1:32" ht="12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</row>
    <row r="530" spans="1:32" ht="12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</row>
    <row r="531" spans="1:32" ht="12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</row>
    <row r="532" spans="1:32" ht="12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</row>
    <row r="533" spans="1:32" ht="12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</row>
    <row r="534" spans="1:32" ht="12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</row>
    <row r="535" spans="1:32" ht="12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</row>
    <row r="536" spans="1:32" ht="12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</row>
    <row r="537" spans="1:32" ht="12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</row>
    <row r="538" spans="1:32" ht="12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</row>
    <row r="539" spans="1:32" ht="12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</row>
    <row r="540" spans="1:32" ht="12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</row>
    <row r="541" spans="1:32" ht="12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</row>
    <row r="542" spans="1:32" ht="12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</row>
    <row r="543" spans="1:32" ht="12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</row>
    <row r="544" spans="1:32" ht="12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</row>
    <row r="545" spans="1:32" ht="12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</row>
    <row r="546" spans="1:32" ht="12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</row>
    <row r="547" spans="1:32" ht="12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</row>
    <row r="548" spans="1:32" ht="12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</row>
    <row r="549" spans="1:32" ht="12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</row>
    <row r="550" spans="1:32" ht="12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</row>
    <row r="551" spans="1:32" ht="12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</row>
    <row r="552" spans="1:32" ht="12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</row>
    <row r="553" spans="1:32" ht="12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</row>
    <row r="554" spans="1:32" ht="12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</row>
    <row r="555" spans="1:32" ht="12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</row>
    <row r="556" spans="1:32" ht="12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</row>
    <row r="557" spans="1:32" ht="12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</row>
    <row r="558" spans="1:32" ht="12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</row>
    <row r="559" spans="1:32" ht="12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</row>
    <row r="560" spans="1:32" ht="12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</row>
    <row r="561" spans="1:32" ht="12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</row>
    <row r="562" spans="1:32" ht="12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</row>
    <row r="563" spans="1:32" ht="12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</row>
    <row r="564" spans="1:32" ht="12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</row>
    <row r="565" spans="1:32" ht="12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</row>
    <row r="566" spans="1:32" ht="12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</row>
    <row r="567" spans="1:32" ht="12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</row>
    <row r="568" spans="1:32" ht="12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</row>
    <row r="569" spans="1:32" ht="12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</row>
    <row r="570" spans="1:32" ht="12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</row>
    <row r="571" spans="1:32" ht="12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</row>
    <row r="572" spans="1:32" ht="12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</row>
    <row r="573" spans="1:32" ht="12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</row>
    <row r="574" spans="1:32" ht="12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</row>
    <row r="575" spans="1:32" ht="12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</row>
    <row r="576" spans="1:32" ht="12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</row>
    <row r="577" spans="1:32" ht="12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</row>
    <row r="578" spans="1:32" ht="12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</row>
    <row r="579" spans="1:32" ht="12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</row>
    <row r="580" spans="1:32" ht="12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</row>
    <row r="581" spans="1:32" ht="12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</row>
    <row r="582" spans="1:32" ht="12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</row>
    <row r="583" spans="1:32" ht="12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</row>
    <row r="584" spans="1:32" ht="12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</row>
    <row r="585" spans="1:32" ht="12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</row>
    <row r="586" spans="1:32" ht="12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</row>
    <row r="587" spans="1:32" ht="12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</row>
    <row r="588" spans="1:32" ht="12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</row>
    <row r="589" spans="1:32" ht="12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</row>
    <row r="590" spans="1:32" ht="12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</row>
    <row r="591" spans="1:32" ht="12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</row>
    <row r="592" spans="1:32" ht="12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</row>
    <row r="593" spans="1:32" ht="12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</row>
    <row r="594" spans="1:32" ht="12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</row>
    <row r="595" spans="1:32" ht="12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</row>
    <row r="596" spans="1:32" ht="12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</row>
    <row r="597" spans="1:32" ht="12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</row>
    <row r="598" spans="1:32" ht="12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</row>
    <row r="599" spans="1:32" ht="12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</row>
    <row r="600" spans="1:32" ht="12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</row>
    <row r="601" spans="1:32" ht="12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</row>
    <row r="602" spans="1:32" ht="12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</row>
    <row r="603" spans="1:32" ht="12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</row>
    <row r="604" spans="1:32" ht="12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</row>
    <row r="605" spans="1:32" ht="12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</row>
    <row r="606" spans="1:32" ht="12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</row>
    <row r="607" spans="1:32" ht="12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</row>
    <row r="608" spans="1:32" ht="12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</row>
    <row r="609" spans="1:32" ht="12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</row>
    <row r="610" spans="1:32" ht="12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</row>
    <row r="611" spans="1:32" ht="12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</row>
    <row r="612" spans="1:32" ht="12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</row>
    <row r="613" spans="1:32" ht="12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</row>
    <row r="614" spans="1:32" ht="12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</row>
    <row r="615" spans="1:32" ht="12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</row>
    <row r="616" spans="1:32" ht="12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</row>
    <row r="617" spans="1:32" ht="12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</row>
    <row r="618" spans="1:32" ht="12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</row>
    <row r="619" spans="1:32" ht="12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</row>
    <row r="620" spans="1:32" ht="12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</row>
    <row r="621" spans="1:32" ht="12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</row>
    <row r="622" spans="1:32" ht="12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</row>
    <row r="623" spans="1:32" ht="12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</row>
    <row r="624" spans="1:32" ht="12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</row>
    <row r="625" spans="1:32" ht="12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</row>
    <row r="626" spans="1:32" ht="12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</row>
    <row r="627" spans="1:32" ht="12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</row>
    <row r="628" spans="1:32" ht="12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</row>
    <row r="629" spans="1:32" ht="12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</row>
    <row r="630" spans="1:32" ht="12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</row>
    <row r="631" spans="1:32" ht="12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</row>
    <row r="632" spans="1:32" ht="12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</row>
    <row r="633" spans="1:32" ht="12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</row>
    <row r="634" spans="1:32" ht="12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</row>
    <row r="635" spans="1:32" ht="12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</row>
    <row r="636" spans="1:32" ht="12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</row>
    <row r="637" spans="1:32" ht="12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</row>
    <row r="638" spans="1:32" ht="12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</row>
    <row r="639" spans="1:32" ht="12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</row>
    <row r="640" spans="1:32" ht="12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</row>
    <row r="641" spans="1:32" ht="12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</row>
    <row r="642" spans="1:32" ht="12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</row>
    <row r="643" spans="1:32" ht="12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</row>
    <row r="644" spans="1:32" ht="12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</row>
    <row r="645" spans="1:32" ht="12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</row>
    <row r="646" spans="1:32" ht="12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</row>
    <row r="647" spans="1:32" ht="12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</row>
    <row r="648" spans="1:32" ht="12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</row>
    <row r="649" spans="1:32" ht="12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</row>
    <row r="650" spans="1:32" ht="12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</row>
    <row r="651" spans="1:32" ht="12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</row>
    <row r="652" spans="1:32" ht="12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</row>
    <row r="653" spans="1:32" ht="12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</row>
    <row r="654" spans="1:32" ht="12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</row>
    <row r="655" spans="1:32" ht="12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</row>
    <row r="656" spans="1:32" ht="12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</row>
    <row r="657" spans="1:32" ht="12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</row>
    <row r="658" spans="1:32" ht="12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</row>
    <row r="659" spans="1:32" ht="12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</row>
    <row r="660" spans="1:32" ht="12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</row>
    <row r="661" spans="1:32" ht="12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</row>
    <row r="662" spans="1:32" ht="12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</row>
    <row r="663" spans="1:32" ht="12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</row>
    <row r="664" spans="1:32" ht="12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</row>
    <row r="665" spans="1:32" ht="12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</row>
    <row r="666" spans="1:32" ht="12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</row>
    <row r="667" spans="1:32" ht="12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</row>
    <row r="668" spans="1:32" ht="12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</row>
    <row r="669" spans="1:32" ht="12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</row>
    <row r="670" spans="1:32" ht="12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</row>
    <row r="671" spans="1:32" ht="12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</row>
    <row r="672" spans="1:32" ht="12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</row>
    <row r="673" spans="1:32" ht="12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</row>
    <row r="674" spans="1:32" ht="12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</row>
    <row r="675" spans="1:32" ht="12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</row>
    <row r="676" spans="1:32" ht="12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</row>
    <row r="677" spans="1:32" ht="12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</row>
    <row r="678" spans="1:32" ht="12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</row>
    <row r="679" spans="1:32" ht="12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</row>
    <row r="680" spans="1:32" ht="12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</row>
    <row r="681" spans="1:32" ht="12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</row>
    <row r="682" spans="1:32" ht="12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</row>
    <row r="683" spans="1:32" ht="12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</row>
    <row r="684" spans="1:32" ht="12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</row>
    <row r="685" spans="1:32" ht="12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</row>
    <row r="686" spans="1:32" ht="12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</row>
    <row r="687" spans="1:32" ht="12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</row>
    <row r="688" spans="1:32" ht="12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</row>
    <row r="689" spans="1:32" ht="12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</row>
    <row r="690" spans="1:32" ht="12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</row>
    <row r="691" spans="1:32" ht="12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</row>
    <row r="692" spans="1:32" ht="12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</row>
    <row r="693" spans="1:32" ht="12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</row>
    <row r="694" spans="1:32" ht="12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</row>
    <row r="695" spans="1:32" ht="12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</row>
    <row r="696" spans="1:32" ht="12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</row>
    <row r="697" spans="1:32" ht="12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</row>
    <row r="698" spans="1:32" ht="12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</row>
    <row r="699" spans="1:32" ht="12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</row>
    <row r="700" spans="1:32" ht="12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</row>
    <row r="701" spans="1:32" ht="12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</row>
    <row r="702" spans="1:32" ht="12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</row>
    <row r="703" spans="1:32" ht="12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</row>
    <row r="704" spans="1:32" ht="12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</row>
    <row r="705" spans="1:32" ht="12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</row>
    <row r="706" spans="1:32" ht="12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</row>
    <row r="707" spans="1:32" ht="12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</row>
    <row r="708" spans="1:32" ht="12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</row>
    <row r="709" spans="1:32" ht="12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</row>
    <row r="710" spans="1:32" ht="12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</row>
    <row r="711" spans="1:32" ht="12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</row>
    <row r="712" spans="1:32" ht="12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</row>
    <row r="713" spans="1:32" ht="12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</row>
    <row r="714" spans="1:32" ht="12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</row>
    <row r="715" spans="1:32" ht="12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</row>
    <row r="716" spans="1:32" ht="12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</row>
    <row r="717" spans="1:32" ht="12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</row>
    <row r="718" spans="1:32" ht="12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</row>
    <row r="719" spans="1:32" ht="12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</row>
    <row r="720" spans="1:32" ht="12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</row>
    <row r="721" spans="1:32" ht="12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</row>
    <row r="722" spans="1:32" ht="12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</row>
    <row r="723" spans="1:32" ht="12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</row>
    <row r="724" spans="1:32" ht="12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</row>
    <row r="725" spans="1:32" ht="12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</row>
    <row r="726" spans="1:32" ht="12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</row>
    <row r="727" spans="1:32" ht="12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</row>
    <row r="728" spans="1:32" ht="12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</row>
    <row r="729" spans="1:32" ht="12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</row>
    <row r="730" spans="1:32" ht="12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</row>
    <row r="731" spans="1:32" ht="12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</row>
    <row r="732" spans="1:32" ht="12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</row>
    <row r="733" spans="1:32" ht="12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</row>
    <row r="734" spans="1:32" ht="12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</row>
    <row r="735" spans="1:32" ht="12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</row>
    <row r="736" spans="1:32" ht="12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</row>
    <row r="737" spans="1:32" ht="12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</row>
    <row r="738" spans="1:32" ht="12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</row>
    <row r="739" spans="1:32" ht="12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</row>
    <row r="740" spans="1:32" ht="12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</row>
    <row r="741" spans="1:32" ht="12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</row>
    <row r="742" spans="1:32" ht="12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</row>
    <row r="743" spans="1:32" ht="12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</row>
    <row r="744" spans="1:32" ht="12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</row>
    <row r="745" spans="1:32" ht="12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</row>
    <row r="746" spans="1:32" ht="12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</row>
    <row r="747" spans="1:32" ht="12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</row>
    <row r="748" spans="1:32" ht="12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</row>
    <row r="749" spans="1:32" ht="12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</row>
    <row r="750" spans="1:32" ht="12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</row>
    <row r="751" spans="1:32" ht="12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</row>
    <row r="752" spans="1:32" ht="12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</row>
    <row r="753" spans="1:32" ht="12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</row>
    <row r="754" spans="1:32" ht="12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</row>
    <row r="755" spans="1:32" ht="12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</row>
    <row r="756" spans="1:32" ht="12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</row>
    <row r="757" spans="1:32" ht="12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</row>
    <row r="758" spans="1:32" ht="12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</row>
    <row r="759" spans="1:32" ht="12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</row>
    <row r="760" spans="1:32" ht="12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</row>
    <row r="761" spans="1:32" ht="12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</row>
    <row r="762" spans="1:32" ht="12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</row>
    <row r="763" spans="1:32" ht="12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</row>
    <row r="764" spans="1:32" ht="12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</row>
    <row r="765" spans="1:32" ht="12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</row>
    <row r="766" spans="1:32" ht="12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</row>
    <row r="767" spans="1:32" ht="12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</row>
    <row r="768" spans="1:32" ht="12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</row>
    <row r="769" spans="1:32" ht="12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</row>
    <row r="770" spans="1:32" ht="12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</row>
    <row r="771" spans="1:32" ht="12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</row>
    <row r="772" spans="1:32" ht="12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</row>
    <row r="773" spans="1:32" ht="12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</row>
    <row r="774" spans="1:32" ht="12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</row>
    <row r="775" spans="1:32" ht="12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</row>
    <row r="776" spans="1:32" ht="12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</row>
    <row r="777" spans="1:32" ht="12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</row>
    <row r="778" spans="1:32" ht="12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</row>
    <row r="779" spans="1:32" ht="12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</row>
    <row r="780" spans="1:32" ht="12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</row>
    <row r="781" spans="1:32" ht="12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</row>
    <row r="782" spans="1:32" ht="12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</row>
    <row r="783" spans="1:32" ht="12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</row>
    <row r="784" spans="1:32" ht="12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</row>
    <row r="785" spans="1:32" ht="12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</row>
    <row r="786" spans="1:32" ht="12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</row>
    <row r="787" spans="1:32" ht="12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</row>
    <row r="788" spans="1:32" ht="12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</row>
    <row r="789" spans="1:32" ht="12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</row>
    <row r="790" spans="1:32" ht="12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</row>
    <row r="791" spans="1:32" ht="12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</row>
    <row r="792" spans="1:32" ht="12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</row>
    <row r="793" spans="1:32" ht="12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</row>
    <row r="794" spans="1:32" ht="12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</row>
    <row r="795" spans="1:32" ht="12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</row>
    <row r="796" spans="1:32" ht="12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</row>
    <row r="797" spans="1:32" ht="12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</row>
    <row r="798" spans="1:32" ht="12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</row>
    <row r="799" spans="1:32" ht="12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</row>
    <row r="800" spans="1:32" ht="12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</row>
    <row r="801" spans="1:32" ht="12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</row>
    <row r="802" spans="1:32" ht="12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</row>
    <row r="803" spans="1:32" ht="12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</row>
    <row r="804" spans="1:32" ht="12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</row>
    <row r="805" spans="1:32" ht="12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</row>
    <row r="806" spans="1:32" ht="12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</row>
    <row r="807" spans="1:32" ht="12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</row>
    <row r="808" spans="1:32" ht="12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</row>
    <row r="809" spans="1:32" ht="12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</row>
    <row r="810" spans="1:32" ht="12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</row>
    <row r="811" spans="1:32" ht="12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</row>
    <row r="812" spans="1:32" ht="12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</row>
    <row r="813" spans="1:32" ht="12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</row>
    <row r="814" spans="1:32" ht="12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</row>
    <row r="815" spans="1:32" ht="12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</row>
    <row r="816" spans="1:32" ht="12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</row>
    <row r="817" spans="1:32" ht="12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</row>
    <row r="818" spans="1:32" ht="12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</row>
    <row r="819" spans="1:32" ht="12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</row>
    <row r="820" spans="1:32" ht="12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</row>
    <row r="821" spans="1:32" ht="12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</row>
    <row r="822" spans="1:32" ht="12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</row>
    <row r="823" spans="1:32" ht="12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</row>
    <row r="824" spans="1:32" ht="12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</row>
    <row r="825" spans="1:32" ht="12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</row>
    <row r="826" spans="1:32" ht="12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</row>
    <row r="827" spans="1:32" ht="12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</row>
    <row r="828" spans="1:32" ht="12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</row>
    <row r="829" spans="1:32" ht="12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</row>
    <row r="830" spans="1:32" ht="12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</row>
    <row r="831" spans="1:32" ht="12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</row>
    <row r="832" spans="1:32" ht="12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</row>
    <row r="833" spans="1:32" ht="12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</row>
    <row r="834" spans="1:32" ht="12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</row>
    <row r="835" spans="1:32" ht="12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</row>
    <row r="836" spans="1:32" ht="12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</row>
    <row r="837" spans="1:32" ht="12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</row>
    <row r="838" spans="1:32" ht="12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</row>
    <row r="839" spans="1:32" ht="12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</row>
    <row r="840" spans="1:32" ht="12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</row>
    <row r="841" spans="1:32" ht="12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</row>
    <row r="842" spans="1:32" ht="12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</row>
    <row r="843" spans="1:32" ht="12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</row>
    <row r="844" spans="1:32" ht="12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</row>
    <row r="845" spans="1:32" ht="12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</row>
    <row r="846" spans="1:32" ht="12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</row>
    <row r="847" spans="1:32" ht="12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</row>
    <row r="848" spans="1:32" ht="12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</row>
    <row r="849" spans="1:32" ht="12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</row>
    <row r="850" spans="1:32" ht="12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</row>
    <row r="851" spans="1:32" ht="12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</row>
    <row r="852" spans="1:32" ht="12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</row>
    <row r="853" spans="1:32" ht="12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</row>
    <row r="854" spans="1:32" ht="12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</row>
    <row r="855" spans="1:32" ht="12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</row>
    <row r="856" spans="1:32" ht="12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</row>
    <row r="857" spans="1:32" ht="12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</row>
    <row r="858" spans="1:32" ht="12.7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</row>
    <row r="859" spans="1:32" ht="12.7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</row>
    <row r="860" spans="1:32" ht="12.7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</row>
    <row r="861" spans="1:32" ht="12.7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</row>
    <row r="862" spans="1:32" ht="12.7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</row>
    <row r="863" spans="1:32" ht="12.7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</row>
    <row r="864" spans="1:32" ht="12.7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</row>
    <row r="865" spans="1:32" ht="12.7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</row>
    <row r="866" spans="1:32" ht="12.7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</row>
    <row r="867" spans="1:32" ht="12.7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</row>
    <row r="868" spans="1:32" ht="12.7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</row>
    <row r="869" spans="1:32" ht="12.7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</row>
    <row r="870" spans="1:32" ht="12.7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</row>
    <row r="871" spans="1:32" ht="12.7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</row>
    <row r="872" spans="1:32" ht="12.7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</row>
    <row r="873" spans="1:32" ht="12.7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</row>
    <row r="874" spans="1:32" ht="12.7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</row>
    <row r="875" spans="1:32" ht="12.7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</row>
    <row r="876" spans="1:32" ht="12.7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</row>
    <row r="877" spans="1:32" ht="12.7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</row>
    <row r="878" spans="1:32" ht="12.7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</row>
    <row r="879" spans="1:32" ht="12.7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</row>
    <row r="880" spans="1:32" ht="12.7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</row>
    <row r="881" spans="1:32" ht="12.7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</row>
    <row r="882" spans="1:32" ht="12.7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</row>
    <row r="883" spans="1:32" ht="12.7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</row>
    <row r="884" spans="1:32" ht="12.7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</row>
    <row r="885" spans="1:32" ht="12.7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</row>
    <row r="886" spans="1:32" ht="12.7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</row>
    <row r="887" spans="1:32" ht="12.7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</row>
    <row r="888" spans="1:32" ht="12.7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</row>
    <row r="889" spans="1:32" ht="12.7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</row>
    <row r="890" spans="1:32" ht="12.7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</row>
    <row r="891" spans="1:32" ht="12.7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</row>
    <row r="892" spans="1:32" ht="12.7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</row>
    <row r="893" spans="1:32" ht="12.7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</row>
    <row r="894" spans="1:32" ht="12.7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</row>
    <row r="895" spans="1:32" ht="12.7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</row>
    <row r="896" spans="1:32" ht="12.7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</row>
    <row r="897" spans="1:32" ht="12.7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</row>
    <row r="898" spans="1:32" ht="12.7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</row>
    <row r="899" spans="1:32" ht="12.7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</row>
    <row r="900" spans="1:32" ht="12.7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</row>
    <row r="901" spans="1:32" ht="12.7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</row>
    <row r="902" spans="1:32" ht="12.7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</row>
    <row r="903" spans="1:32" ht="12.7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</row>
    <row r="904" spans="1:32" ht="12.7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</row>
    <row r="905" spans="1:32" ht="12.7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</row>
    <row r="906" spans="1:32" ht="12.7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</row>
    <row r="907" spans="1:32" ht="12.7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</row>
    <row r="908" spans="1:32" ht="12.7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</row>
    <row r="909" spans="1:32" ht="12.7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</row>
    <row r="910" spans="1:32" ht="12.7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</row>
    <row r="911" spans="1:32" ht="12.7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</row>
    <row r="912" spans="1:32" ht="12.7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</row>
    <row r="913" spans="1:32" ht="12.7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</row>
    <row r="914" spans="1:32" ht="12.7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</row>
    <row r="915" spans="1:32" ht="12.7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</row>
    <row r="916" spans="1:32" ht="12.7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</row>
    <row r="917" spans="1:32" ht="12.7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</row>
    <row r="918" spans="1:32" ht="12.7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</row>
    <row r="919" spans="1:32" ht="12.7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</row>
    <row r="920" spans="1:32" ht="12.7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</row>
    <row r="921" spans="1:32" ht="12.7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</row>
    <row r="922" spans="1:32" ht="12.7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</row>
    <row r="923" spans="1:32" ht="12.7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</row>
    <row r="924" spans="1:32" ht="12.7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</row>
    <row r="925" spans="1:32" ht="12.7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</row>
    <row r="926" spans="1:32" ht="12.7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</row>
    <row r="927" spans="1:32" ht="12.7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</row>
    <row r="928" spans="1:32" ht="12.7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</row>
    <row r="929" spans="1:32" ht="12.7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</row>
    <row r="930" spans="1:32" ht="12.7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</row>
    <row r="931" spans="1:32" ht="12.7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</row>
    <row r="932" spans="1:32" ht="12.7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</row>
    <row r="933" spans="1:32" ht="12.7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</row>
    <row r="934" spans="1:32" ht="12.7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</row>
    <row r="935" spans="1:32" ht="12.7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</row>
    <row r="936" spans="1:32" ht="12.7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</row>
    <row r="937" spans="1:32" ht="12.7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</row>
    <row r="938" spans="1:32" ht="12.7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</row>
    <row r="939" spans="1:32" ht="12.7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</row>
    <row r="940" spans="1:32" ht="12.7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</row>
    <row r="941" spans="1:32" ht="12.7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</row>
    <row r="942" spans="1:32" ht="12.7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</row>
    <row r="943" spans="1:32" ht="12.7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</row>
    <row r="944" spans="1:32" ht="12.7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</row>
    <row r="945" spans="1:32" ht="12.7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</row>
    <row r="946" spans="1:32" ht="12.7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</row>
    <row r="947" spans="1:32" ht="12.7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</row>
    <row r="948" spans="1:32" ht="12.7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</row>
    <row r="949" spans="1:32" ht="12.7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</row>
    <row r="950" spans="1:32" ht="12.7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</row>
    <row r="951" spans="1:32" ht="12.7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</row>
    <row r="952" spans="1:32" ht="12.7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</row>
    <row r="953" spans="1:32" ht="12.7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</row>
    <row r="954" spans="1:32" ht="12.7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</row>
    <row r="955" spans="1:32" ht="12.7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</row>
    <row r="956" spans="1:32" ht="12.7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</row>
    <row r="957" spans="1:32" ht="12.7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</row>
    <row r="958" spans="1:32" ht="12.7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</row>
    <row r="959" spans="1:32" ht="12.7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</row>
    <row r="960" spans="1:32" ht="12.7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</row>
    <row r="961" spans="1:32" ht="12.7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</row>
    <row r="962" spans="1:32" ht="12.7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</row>
    <row r="963" spans="1:32" ht="12.7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</row>
    <row r="964" spans="1:32" ht="12.7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</row>
    <row r="965" spans="1:32" ht="12.7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</row>
    <row r="966" spans="1:32" ht="12.7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</row>
    <row r="967" spans="1:32" ht="12.7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</row>
    <row r="968" spans="1:32" ht="12.7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</row>
    <row r="969" spans="1:32" ht="12.7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</row>
    <row r="970" spans="1:32" ht="12.7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</row>
    <row r="971" spans="1:32" ht="12.7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</row>
    <row r="972" spans="1:32" ht="12.7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</row>
    <row r="973" spans="1:32" ht="12.7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</row>
    <row r="974" spans="1:32" ht="12.7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</row>
    <row r="975" spans="1:32" ht="12.7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</row>
    <row r="976" spans="1:32" ht="12.7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</row>
    <row r="977" spans="1:32" ht="12.7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</row>
    <row r="978" spans="1:32" ht="12.7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</row>
    <row r="979" spans="1:32" ht="12.7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</row>
    <row r="980" spans="1:32" ht="12.7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</row>
    <row r="981" spans="1:32" ht="12.7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</row>
    <row r="982" spans="1:32" ht="12.7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</row>
    <row r="983" spans="1:32" ht="12.7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</row>
    <row r="984" spans="1:32" ht="12.7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</row>
    <row r="985" spans="1:32" ht="12.7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</row>
    <row r="986" spans="1:32" ht="12.7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</row>
    <row r="987" spans="1:32" ht="12.7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</row>
    <row r="988" spans="1:32" ht="12.7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</row>
    <row r="989" spans="1:32" ht="12.7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</row>
    <row r="990" spans="1:32" ht="12.7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</row>
    <row r="991" spans="1:32" ht="12.7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</row>
    <row r="992" spans="1:32" ht="12.7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</row>
    <row r="993" spans="1:32" ht="12.7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</row>
    <row r="994" spans="1:32" ht="12.7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</row>
    <row r="995" spans="1:32" ht="12.7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</row>
    <row r="996" spans="1:32" ht="12.7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</row>
    <row r="997" spans="1:32" ht="12.7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</row>
    <row r="998" spans="1:32" ht="12.7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</row>
    <row r="999" spans="1:32" ht="12.7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</row>
    <row r="1000" spans="1:32" ht="12.75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</row>
    <row r="1001" spans="1:32" ht="12.75" customHeight="1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S1001" s="76"/>
      <c r="T1001" s="76"/>
      <c r="U1001" s="76"/>
      <c r="V1001" s="76"/>
      <c r="W1001" s="76"/>
      <c r="X1001" s="76"/>
      <c r="Y1001" s="76"/>
      <c r="Z1001" s="76"/>
      <c r="AA1001" s="76"/>
      <c r="AB1001" s="76"/>
      <c r="AC1001" s="76"/>
      <c r="AD1001" s="76"/>
      <c r="AE1001" s="76"/>
      <c r="AF1001" s="76"/>
    </row>
    <row r="1002" spans="1:32" ht="12.75" customHeight="1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S1002" s="76"/>
      <c r="T1002" s="76"/>
      <c r="U1002" s="76"/>
      <c r="V1002" s="76"/>
      <c r="W1002" s="76"/>
      <c r="X1002" s="76"/>
      <c r="Y1002" s="76"/>
      <c r="Z1002" s="76"/>
      <c r="AA1002" s="76"/>
      <c r="AB1002" s="76"/>
      <c r="AC1002" s="76"/>
      <c r="AD1002" s="76"/>
      <c r="AE1002" s="76"/>
      <c r="AF1002" s="76"/>
    </row>
    <row r="1003" spans="1:32" ht="15" customHeight="1"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S1003" s="76"/>
      <c r="T1003" s="76"/>
      <c r="U1003" s="76"/>
      <c r="V1003" s="76"/>
      <c r="W1003" s="76"/>
      <c r="X1003" s="76"/>
      <c r="Y1003" s="76"/>
      <c r="Z1003" s="76"/>
      <c r="AA1003" s="76"/>
    </row>
  </sheetData>
  <mergeCells count="22">
    <mergeCell ref="C20:G20"/>
    <mergeCell ref="I20:L20"/>
    <mergeCell ref="N20:Q20"/>
    <mergeCell ref="S20:V20"/>
    <mergeCell ref="AC2:AF2"/>
    <mergeCell ref="C3:G3"/>
    <mergeCell ref="I3:L3"/>
    <mergeCell ref="N3:Q3"/>
    <mergeCell ref="S3:V3"/>
    <mergeCell ref="X3:AA3"/>
    <mergeCell ref="AC3:AF3"/>
    <mergeCell ref="C18:AA18"/>
    <mergeCell ref="C19:G19"/>
    <mergeCell ref="I19:L19"/>
    <mergeCell ref="N19:Q19"/>
    <mergeCell ref="S19:V19"/>
    <mergeCell ref="C1:AA1"/>
    <mergeCell ref="C2:G2"/>
    <mergeCell ref="I2:L2"/>
    <mergeCell ref="N2:Q2"/>
    <mergeCell ref="S2:V2"/>
    <mergeCell ref="X2:AA2"/>
  </mergeCells>
  <printOptions horizontalCentered="1"/>
  <pageMargins left="0.70866141732283472" right="0.70866141732283472" top="0.74803149606299213" bottom="0.74803149606299213" header="0" footer="0"/>
  <pageSetup scale="5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7</vt:i4>
      </vt:variant>
    </vt:vector>
  </HeadingPairs>
  <TitlesOfParts>
    <vt:vector size="11" baseType="lpstr">
      <vt:lpstr>BANCOS</vt:lpstr>
      <vt:lpstr>SAT</vt:lpstr>
      <vt:lpstr>Rangos</vt:lpstr>
      <vt:lpstr>Param. de salida con formulas</vt:lpstr>
      <vt:lpstr>'Param. de salida con formulas'!comisión_apertura</vt:lpstr>
      <vt:lpstr>'Param. de salida con formulas'!descuento_rentas</vt:lpstr>
      <vt:lpstr>'Param. de salida con formulas'!fondo_reserva</vt:lpstr>
      <vt:lpstr>'Param. de salida con formulas'!linea_credito</vt:lpstr>
      <vt:lpstr>'Param. de salida con formulas'!plazo</vt:lpstr>
      <vt:lpstr>'Param. de salida con formulas'!tasa_credito</vt:lpstr>
      <vt:lpstr>'Param. de salida con formulas'!valor_residual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 C.</dc:creator>
  <cp:keywords/>
  <dc:description/>
  <cp:lastModifiedBy>Franco C.</cp:lastModifiedBy>
  <cp:revision/>
  <dcterms:created xsi:type="dcterms:W3CDTF">2026-05-07T16:45:21Z</dcterms:created>
  <dcterms:modified xsi:type="dcterms:W3CDTF">2026-07-31T18:22:49Z</dcterms:modified>
  <cp:category/>
  <cp:contentStatus/>
</cp:coreProperties>
</file>